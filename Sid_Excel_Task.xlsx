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dha\Downloads\"/>
    </mc:Choice>
  </mc:AlternateContent>
  <xr:revisionPtr revIDLastSave="0" documentId="8_{DA865A75-1761-4AC7-8D8C-CE0D310F617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blem Statement" sheetId="1" r:id="rId1"/>
    <sheet name="Mastersheet" sheetId="2" r:id="rId2"/>
    <sheet name="insights" sheetId="13" r:id="rId3"/>
    <sheet name="Session Details " sheetId="3" r:id="rId4"/>
    <sheet name="Session Mode" sheetId="4" r:id="rId5"/>
    <sheet name="Quiz Scores" sheetId="5" r:id="rId6"/>
    <sheet name="Grading Criteria and Weightage" sheetId="6" r:id="rId7"/>
  </sheets>
  <definedNames>
    <definedName name="_xlnm._FilterDatabase" localSheetId="1" hidden="1">Mastersheet!$A$2:$H$450</definedName>
    <definedName name="quiz_mark">'Quiz Scores'!$G$9:$H$467</definedName>
    <definedName name="Quiz_marks">'Quiz Scores'!$G$9:$H$467</definedName>
    <definedName name="quiz_scores">'Quiz Scores'!$B$2:$D$460</definedName>
    <definedName name="session_details">'Session Details '!$A$2:$D$21</definedName>
    <definedName name="Session_mode">'Session Mode'!$A$2:$B$21</definedName>
  </definedNames>
  <calcPr calcId="191029"/>
  <pivotCaches>
    <pivotCache cacheId="3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7" i="13" l="1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21" i="13"/>
  <c r="I22" i="13"/>
  <c r="I23" i="13"/>
  <c r="H21" i="13"/>
  <c r="H22" i="13"/>
  <c r="H23" i="13"/>
  <c r="I6" i="13"/>
  <c r="I7" i="13"/>
  <c r="I8" i="13"/>
  <c r="I9" i="13"/>
  <c r="H7" i="13"/>
  <c r="H8" i="13"/>
  <c r="H9" i="13"/>
  <c r="H6" i="13"/>
  <c r="R4" i="2"/>
  <c r="R5" i="2"/>
  <c r="R6" i="2"/>
  <c r="R7" i="2"/>
  <c r="S7" i="2" s="1"/>
  <c r="R8" i="2"/>
  <c r="R9" i="2"/>
  <c r="R10" i="2"/>
  <c r="R11" i="2"/>
  <c r="R12" i="2"/>
  <c r="R13" i="2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R21" i="2"/>
  <c r="R22" i="2"/>
  <c r="R23" i="2"/>
  <c r="S23" i="2" s="1"/>
  <c r="R24" i="2"/>
  <c r="R25" i="2"/>
  <c r="R26" i="2"/>
  <c r="R27" i="2"/>
  <c r="R28" i="2"/>
  <c r="R29" i="2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R37" i="2"/>
  <c r="R38" i="2"/>
  <c r="R39" i="2"/>
  <c r="S39" i="2" s="1"/>
  <c r="R40" i="2"/>
  <c r="R41" i="2"/>
  <c r="R42" i="2"/>
  <c r="R43" i="2"/>
  <c r="R44" i="2"/>
  <c r="R45" i="2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R3" i="2"/>
  <c r="S3" i="2" s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3" i="2"/>
  <c r="S4" i="2"/>
  <c r="S5" i="2"/>
  <c r="S6" i="2"/>
  <c r="S8" i="2"/>
  <c r="S9" i="2"/>
  <c r="S10" i="2"/>
  <c r="S11" i="2"/>
  <c r="S12" i="2"/>
  <c r="S13" i="2"/>
  <c r="S20" i="2"/>
  <c r="S21" i="2"/>
  <c r="S22" i="2"/>
  <c r="S24" i="2"/>
  <c r="S25" i="2"/>
  <c r="S26" i="2"/>
  <c r="S27" i="2"/>
  <c r="S28" i="2"/>
  <c r="S29" i="2"/>
  <c r="S36" i="2"/>
  <c r="S37" i="2"/>
  <c r="S38" i="2"/>
  <c r="S40" i="2"/>
  <c r="S41" i="2"/>
  <c r="S42" i="2"/>
  <c r="S43" i="2"/>
  <c r="S44" i="2"/>
  <c r="S45" i="2"/>
  <c r="S52" i="2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K432" i="2" s="1"/>
  <c r="J433" i="2"/>
  <c r="K433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5" i="2"/>
  <c r="K445" i="2" s="1"/>
  <c r="J446" i="2"/>
  <c r="K446" i="2" s="1"/>
  <c r="J447" i="2"/>
  <c r="K447" i="2" s="1"/>
  <c r="J448" i="2"/>
  <c r="K448" i="2" s="1"/>
  <c r="J449" i="2"/>
  <c r="K449" i="2" s="1"/>
  <c r="J450" i="2"/>
  <c r="K450" i="2" s="1"/>
  <c r="J3" i="2"/>
  <c r="K3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3" i="2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L11" i="2" s="1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L20" i="2" s="1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L36" i="2" s="1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L43" i="2" s="1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L52" i="2" s="1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L59" i="2" s="1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L68" i="2" s="1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L75" i="2" s="1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L84" i="2" s="1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L100" i="2" s="1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L107" i="2" s="1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L116" i="2" s="1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L123" i="2" s="1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L132" i="2" s="1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L148" i="2" s="1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E154" i="2"/>
  <c r="F154" i="2"/>
  <c r="G154" i="2"/>
  <c r="E155" i="2"/>
  <c r="F155" i="2"/>
  <c r="G155" i="2"/>
  <c r="E156" i="2"/>
  <c r="F156" i="2"/>
  <c r="G156" i="2"/>
  <c r="E157" i="2"/>
  <c r="F157" i="2"/>
  <c r="G157" i="2"/>
  <c r="E158" i="2"/>
  <c r="F158" i="2"/>
  <c r="G158" i="2"/>
  <c r="E159" i="2"/>
  <c r="F159" i="2"/>
  <c r="G159" i="2"/>
  <c r="E160" i="2"/>
  <c r="F160" i="2"/>
  <c r="G160" i="2"/>
  <c r="E161" i="2"/>
  <c r="F161" i="2"/>
  <c r="G161" i="2"/>
  <c r="E162" i="2"/>
  <c r="F162" i="2"/>
  <c r="G162" i="2"/>
  <c r="E163" i="2"/>
  <c r="F163" i="2"/>
  <c r="G163" i="2"/>
  <c r="E164" i="2"/>
  <c r="F164" i="2"/>
  <c r="G164" i="2"/>
  <c r="L164" i="2" s="1"/>
  <c r="E165" i="2"/>
  <c r="F165" i="2"/>
  <c r="G165" i="2"/>
  <c r="E166" i="2"/>
  <c r="F166" i="2"/>
  <c r="G166" i="2"/>
  <c r="E167" i="2"/>
  <c r="F167" i="2"/>
  <c r="G167" i="2"/>
  <c r="E168" i="2"/>
  <c r="F168" i="2"/>
  <c r="G168" i="2"/>
  <c r="E169" i="2"/>
  <c r="F169" i="2"/>
  <c r="G169" i="2"/>
  <c r="E170" i="2"/>
  <c r="F170" i="2"/>
  <c r="G170" i="2"/>
  <c r="E171" i="2"/>
  <c r="F171" i="2"/>
  <c r="G171" i="2"/>
  <c r="L171" i="2" s="1"/>
  <c r="E172" i="2"/>
  <c r="F172" i="2"/>
  <c r="G172" i="2"/>
  <c r="E173" i="2"/>
  <c r="F173" i="2"/>
  <c r="G173" i="2"/>
  <c r="E174" i="2"/>
  <c r="F174" i="2"/>
  <c r="G174" i="2"/>
  <c r="E175" i="2"/>
  <c r="F175" i="2"/>
  <c r="G175" i="2"/>
  <c r="E176" i="2"/>
  <c r="F176" i="2"/>
  <c r="G176" i="2"/>
  <c r="E177" i="2"/>
  <c r="F177" i="2"/>
  <c r="G177" i="2"/>
  <c r="E178" i="2"/>
  <c r="F178" i="2"/>
  <c r="G178" i="2"/>
  <c r="E179" i="2"/>
  <c r="F179" i="2"/>
  <c r="G179" i="2"/>
  <c r="E180" i="2"/>
  <c r="F180" i="2"/>
  <c r="G180" i="2"/>
  <c r="L180" i="2" s="1"/>
  <c r="E181" i="2"/>
  <c r="F181" i="2"/>
  <c r="G181" i="2"/>
  <c r="E182" i="2"/>
  <c r="F182" i="2"/>
  <c r="G182" i="2"/>
  <c r="E183" i="2"/>
  <c r="F183" i="2"/>
  <c r="G183" i="2"/>
  <c r="E184" i="2"/>
  <c r="F184" i="2"/>
  <c r="G184" i="2"/>
  <c r="E185" i="2"/>
  <c r="F185" i="2"/>
  <c r="G185" i="2"/>
  <c r="E186" i="2"/>
  <c r="F186" i="2"/>
  <c r="G186" i="2"/>
  <c r="E187" i="2"/>
  <c r="F187" i="2"/>
  <c r="G187" i="2"/>
  <c r="L187" i="2" s="1"/>
  <c r="E188" i="2"/>
  <c r="F188" i="2"/>
  <c r="G188" i="2"/>
  <c r="E189" i="2"/>
  <c r="F189" i="2"/>
  <c r="G189" i="2"/>
  <c r="E190" i="2"/>
  <c r="F190" i="2"/>
  <c r="G190" i="2"/>
  <c r="E191" i="2"/>
  <c r="F191" i="2"/>
  <c r="G191" i="2"/>
  <c r="E192" i="2"/>
  <c r="F192" i="2"/>
  <c r="G192" i="2"/>
  <c r="E193" i="2"/>
  <c r="F193" i="2"/>
  <c r="G193" i="2"/>
  <c r="E194" i="2"/>
  <c r="F194" i="2"/>
  <c r="G194" i="2"/>
  <c r="E195" i="2"/>
  <c r="F195" i="2"/>
  <c r="G195" i="2"/>
  <c r="E196" i="2"/>
  <c r="F196" i="2"/>
  <c r="G196" i="2"/>
  <c r="L196" i="2" s="1"/>
  <c r="E197" i="2"/>
  <c r="F197" i="2"/>
  <c r="G197" i="2"/>
  <c r="E198" i="2"/>
  <c r="F198" i="2"/>
  <c r="G198" i="2"/>
  <c r="E199" i="2"/>
  <c r="F199" i="2"/>
  <c r="G199" i="2"/>
  <c r="E200" i="2"/>
  <c r="F200" i="2"/>
  <c r="G200" i="2"/>
  <c r="E201" i="2"/>
  <c r="F201" i="2"/>
  <c r="G201" i="2"/>
  <c r="E202" i="2"/>
  <c r="F202" i="2"/>
  <c r="G202" i="2"/>
  <c r="E203" i="2"/>
  <c r="F203" i="2"/>
  <c r="G203" i="2"/>
  <c r="E204" i="2"/>
  <c r="F204" i="2"/>
  <c r="G204" i="2"/>
  <c r="E205" i="2"/>
  <c r="F205" i="2"/>
  <c r="G205" i="2"/>
  <c r="E206" i="2"/>
  <c r="F206" i="2"/>
  <c r="G206" i="2"/>
  <c r="E207" i="2"/>
  <c r="F207" i="2"/>
  <c r="G207" i="2"/>
  <c r="E208" i="2"/>
  <c r="F208" i="2"/>
  <c r="G208" i="2"/>
  <c r="E209" i="2"/>
  <c r="F209" i="2"/>
  <c r="G209" i="2"/>
  <c r="E210" i="2"/>
  <c r="F210" i="2"/>
  <c r="G210" i="2"/>
  <c r="E211" i="2"/>
  <c r="F211" i="2"/>
  <c r="G211" i="2"/>
  <c r="E212" i="2"/>
  <c r="F212" i="2"/>
  <c r="G212" i="2"/>
  <c r="L212" i="2" s="1"/>
  <c r="E213" i="2"/>
  <c r="F213" i="2"/>
  <c r="G213" i="2"/>
  <c r="E214" i="2"/>
  <c r="F214" i="2"/>
  <c r="G214" i="2"/>
  <c r="E215" i="2"/>
  <c r="F215" i="2"/>
  <c r="G215" i="2"/>
  <c r="E216" i="2"/>
  <c r="F216" i="2"/>
  <c r="G216" i="2"/>
  <c r="E217" i="2"/>
  <c r="F217" i="2"/>
  <c r="G217" i="2"/>
  <c r="E218" i="2"/>
  <c r="F218" i="2"/>
  <c r="G218" i="2"/>
  <c r="E219" i="2"/>
  <c r="F219" i="2"/>
  <c r="G219" i="2"/>
  <c r="L219" i="2" s="1"/>
  <c r="E220" i="2"/>
  <c r="F220" i="2"/>
  <c r="G220" i="2"/>
  <c r="E221" i="2"/>
  <c r="F221" i="2"/>
  <c r="G221" i="2"/>
  <c r="E222" i="2"/>
  <c r="F222" i="2"/>
  <c r="G222" i="2"/>
  <c r="E223" i="2"/>
  <c r="F223" i="2"/>
  <c r="G223" i="2"/>
  <c r="E224" i="2"/>
  <c r="F224" i="2"/>
  <c r="G224" i="2"/>
  <c r="E225" i="2"/>
  <c r="F225" i="2"/>
  <c r="G225" i="2"/>
  <c r="E226" i="2"/>
  <c r="F226" i="2"/>
  <c r="G226" i="2"/>
  <c r="E227" i="2"/>
  <c r="F227" i="2"/>
  <c r="G227" i="2"/>
  <c r="E228" i="2"/>
  <c r="F228" i="2"/>
  <c r="G228" i="2"/>
  <c r="L228" i="2" s="1"/>
  <c r="E229" i="2"/>
  <c r="F229" i="2"/>
  <c r="G229" i="2"/>
  <c r="E230" i="2"/>
  <c r="F230" i="2"/>
  <c r="G230" i="2"/>
  <c r="E231" i="2"/>
  <c r="F231" i="2"/>
  <c r="G231" i="2"/>
  <c r="E232" i="2"/>
  <c r="F232" i="2"/>
  <c r="G232" i="2"/>
  <c r="E233" i="2"/>
  <c r="F233" i="2"/>
  <c r="G233" i="2"/>
  <c r="E234" i="2"/>
  <c r="F234" i="2"/>
  <c r="G234" i="2"/>
  <c r="E235" i="2"/>
  <c r="F235" i="2"/>
  <c r="G235" i="2"/>
  <c r="L235" i="2" s="1"/>
  <c r="E236" i="2"/>
  <c r="F236" i="2"/>
  <c r="G236" i="2"/>
  <c r="E237" i="2"/>
  <c r="F237" i="2"/>
  <c r="G237" i="2"/>
  <c r="E238" i="2"/>
  <c r="F238" i="2"/>
  <c r="G238" i="2"/>
  <c r="E239" i="2"/>
  <c r="F239" i="2"/>
  <c r="G239" i="2"/>
  <c r="E240" i="2"/>
  <c r="F240" i="2"/>
  <c r="G240" i="2"/>
  <c r="E241" i="2"/>
  <c r="F241" i="2"/>
  <c r="G241" i="2"/>
  <c r="E242" i="2"/>
  <c r="F242" i="2"/>
  <c r="G242" i="2"/>
  <c r="E243" i="2"/>
  <c r="F243" i="2"/>
  <c r="G243" i="2"/>
  <c r="E244" i="2"/>
  <c r="F244" i="2"/>
  <c r="G244" i="2"/>
  <c r="L244" i="2" s="1"/>
  <c r="E245" i="2"/>
  <c r="F245" i="2"/>
  <c r="G245" i="2"/>
  <c r="E246" i="2"/>
  <c r="F246" i="2"/>
  <c r="G246" i="2"/>
  <c r="E247" i="2"/>
  <c r="F247" i="2"/>
  <c r="G247" i="2"/>
  <c r="E248" i="2"/>
  <c r="F248" i="2"/>
  <c r="G248" i="2"/>
  <c r="E249" i="2"/>
  <c r="F249" i="2"/>
  <c r="G249" i="2"/>
  <c r="E250" i="2"/>
  <c r="F250" i="2"/>
  <c r="G250" i="2"/>
  <c r="E251" i="2"/>
  <c r="F251" i="2"/>
  <c r="G251" i="2"/>
  <c r="E252" i="2"/>
  <c r="F252" i="2"/>
  <c r="G252" i="2"/>
  <c r="E253" i="2"/>
  <c r="F253" i="2"/>
  <c r="G253" i="2"/>
  <c r="E254" i="2"/>
  <c r="F254" i="2"/>
  <c r="G254" i="2"/>
  <c r="E255" i="2"/>
  <c r="F255" i="2"/>
  <c r="G255" i="2"/>
  <c r="E256" i="2"/>
  <c r="F256" i="2"/>
  <c r="G256" i="2"/>
  <c r="E257" i="2"/>
  <c r="F257" i="2"/>
  <c r="G257" i="2"/>
  <c r="E258" i="2"/>
  <c r="F258" i="2"/>
  <c r="G258" i="2"/>
  <c r="E259" i="2"/>
  <c r="F259" i="2"/>
  <c r="G259" i="2"/>
  <c r="E260" i="2"/>
  <c r="F260" i="2"/>
  <c r="G260" i="2"/>
  <c r="L260" i="2" s="1"/>
  <c r="E261" i="2"/>
  <c r="F261" i="2"/>
  <c r="G261" i="2"/>
  <c r="E262" i="2"/>
  <c r="F262" i="2"/>
  <c r="G262" i="2"/>
  <c r="E263" i="2"/>
  <c r="F263" i="2"/>
  <c r="G263" i="2"/>
  <c r="E264" i="2"/>
  <c r="F264" i="2"/>
  <c r="G264" i="2"/>
  <c r="E265" i="2"/>
  <c r="F265" i="2"/>
  <c r="G265" i="2"/>
  <c r="E266" i="2"/>
  <c r="F266" i="2"/>
  <c r="G266" i="2"/>
  <c r="E267" i="2"/>
  <c r="F267" i="2"/>
  <c r="G267" i="2"/>
  <c r="L267" i="2" s="1"/>
  <c r="E268" i="2"/>
  <c r="F268" i="2"/>
  <c r="G268" i="2"/>
  <c r="E269" i="2"/>
  <c r="F269" i="2"/>
  <c r="G269" i="2"/>
  <c r="E270" i="2"/>
  <c r="F270" i="2"/>
  <c r="G270" i="2"/>
  <c r="E271" i="2"/>
  <c r="F271" i="2"/>
  <c r="G271" i="2"/>
  <c r="E272" i="2"/>
  <c r="F272" i="2"/>
  <c r="G272" i="2"/>
  <c r="E273" i="2"/>
  <c r="F273" i="2"/>
  <c r="G273" i="2"/>
  <c r="E274" i="2"/>
  <c r="F274" i="2"/>
  <c r="G274" i="2"/>
  <c r="E275" i="2"/>
  <c r="F275" i="2"/>
  <c r="G275" i="2"/>
  <c r="E276" i="2"/>
  <c r="F276" i="2"/>
  <c r="G276" i="2"/>
  <c r="L276" i="2" s="1"/>
  <c r="E277" i="2"/>
  <c r="F277" i="2"/>
  <c r="G277" i="2"/>
  <c r="E278" i="2"/>
  <c r="F278" i="2"/>
  <c r="G278" i="2"/>
  <c r="E279" i="2"/>
  <c r="F279" i="2"/>
  <c r="G279" i="2"/>
  <c r="E280" i="2"/>
  <c r="F280" i="2"/>
  <c r="G280" i="2"/>
  <c r="E281" i="2"/>
  <c r="F281" i="2"/>
  <c r="G281" i="2"/>
  <c r="E282" i="2"/>
  <c r="F282" i="2"/>
  <c r="G282" i="2"/>
  <c r="E283" i="2"/>
  <c r="F283" i="2"/>
  <c r="G283" i="2"/>
  <c r="E284" i="2"/>
  <c r="F284" i="2"/>
  <c r="G284" i="2"/>
  <c r="E285" i="2"/>
  <c r="F285" i="2"/>
  <c r="G285" i="2"/>
  <c r="E286" i="2"/>
  <c r="F286" i="2"/>
  <c r="G286" i="2"/>
  <c r="E287" i="2"/>
  <c r="F287" i="2"/>
  <c r="G287" i="2"/>
  <c r="E288" i="2"/>
  <c r="F288" i="2"/>
  <c r="G288" i="2"/>
  <c r="E289" i="2"/>
  <c r="F289" i="2"/>
  <c r="G289" i="2"/>
  <c r="E290" i="2"/>
  <c r="F290" i="2"/>
  <c r="G290" i="2"/>
  <c r="E291" i="2"/>
  <c r="F291" i="2"/>
  <c r="G291" i="2"/>
  <c r="E292" i="2"/>
  <c r="F292" i="2"/>
  <c r="G292" i="2"/>
  <c r="L292" i="2" s="1"/>
  <c r="E293" i="2"/>
  <c r="F293" i="2"/>
  <c r="G293" i="2"/>
  <c r="E294" i="2"/>
  <c r="F294" i="2"/>
  <c r="G294" i="2"/>
  <c r="E295" i="2"/>
  <c r="F295" i="2"/>
  <c r="G295" i="2"/>
  <c r="E296" i="2"/>
  <c r="F296" i="2"/>
  <c r="G296" i="2"/>
  <c r="E297" i="2"/>
  <c r="F297" i="2"/>
  <c r="G297" i="2"/>
  <c r="E298" i="2"/>
  <c r="F298" i="2"/>
  <c r="G298" i="2"/>
  <c r="E299" i="2"/>
  <c r="F299" i="2"/>
  <c r="G299" i="2"/>
  <c r="L299" i="2" s="1"/>
  <c r="E300" i="2"/>
  <c r="F300" i="2"/>
  <c r="G300" i="2"/>
  <c r="E301" i="2"/>
  <c r="F301" i="2"/>
  <c r="G301" i="2"/>
  <c r="E302" i="2"/>
  <c r="F302" i="2"/>
  <c r="G302" i="2"/>
  <c r="E303" i="2"/>
  <c r="F303" i="2"/>
  <c r="G303" i="2"/>
  <c r="E304" i="2"/>
  <c r="F304" i="2"/>
  <c r="G304" i="2"/>
  <c r="E305" i="2"/>
  <c r="F305" i="2"/>
  <c r="G305" i="2"/>
  <c r="E306" i="2"/>
  <c r="F306" i="2"/>
  <c r="G306" i="2"/>
  <c r="E307" i="2"/>
  <c r="F307" i="2"/>
  <c r="G307" i="2"/>
  <c r="E308" i="2"/>
  <c r="F308" i="2"/>
  <c r="G308" i="2"/>
  <c r="L308" i="2" s="1"/>
  <c r="E309" i="2"/>
  <c r="F309" i="2"/>
  <c r="G309" i="2"/>
  <c r="E310" i="2"/>
  <c r="F310" i="2"/>
  <c r="G310" i="2"/>
  <c r="E311" i="2"/>
  <c r="F311" i="2"/>
  <c r="G311" i="2"/>
  <c r="E312" i="2"/>
  <c r="F312" i="2"/>
  <c r="G312" i="2"/>
  <c r="E313" i="2"/>
  <c r="F313" i="2"/>
  <c r="G313" i="2"/>
  <c r="E314" i="2"/>
  <c r="F314" i="2"/>
  <c r="G314" i="2"/>
  <c r="E315" i="2"/>
  <c r="F315" i="2"/>
  <c r="G315" i="2"/>
  <c r="L315" i="2" s="1"/>
  <c r="E316" i="2"/>
  <c r="F316" i="2"/>
  <c r="G316" i="2"/>
  <c r="E317" i="2"/>
  <c r="F317" i="2"/>
  <c r="G317" i="2"/>
  <c r="E318" i="2"/>
  <c r="F318" i="2"/>
  <c r="G318" i="2"/>
  <c r="E319" i="2"/>
  <c r="F319" i="2"/>
  <c r="G319" i="2"/>
  <c r="E320" i="2"/>
  <c r="F320" i="2"/>
  <c r="G320" i="2"/>
  <c r="E321" i="2"/>
  <c r="F321" i="2"/>
  <c r="G321" i="2"/>
  <c r="E322" i="2"/>
  <c r="F322" i="2"/>
  <c r="G322" i="2"/>
  <c r="E323" i="2"/>
  <c r="F323" i="2"/>
  <c r="G323" i="2"/>
  <c r="E324" i="2"/>
  <c r="F324" i="2"/>
  <c r="G324" i="2"/>
  <c r="L324" i="2" s="1"/>
  <c r="E325" i="2"/>
  <c r="F325" i="2"/>
  <c r="G325" i="2"/>
  <c r="E326" i="2"/>
  <c r="F326" i="2"/>
  <c r="G326" i="2"/>
  <c r="E327" i="2"/>
  <c r="F327" i="2"/>
  <c r="G327" i="2"/>
  <c r="E328" i="2"/>
  <c r="F328" i="2"/>
  <c r="G328" i="2"/>
  <c r="E329" i="2"/>
  <c r="F329" i="2"/>
  <c r="G329" i="2"/>
  <c r="E330" i="2"/>
  <c r="F330" i="2"/>
  <c r="G330" i="2"/>
  <c r="E331" i="2"/>
  <c r="F331" i="2"/>
  <c r="G331" i="2"/>
  <c r="E332" i="2"/>
  <c r="F332" i="2"/>
  <c r="G332" i="2"/>
  <c r="E333" i="2"/>
  <c r="F333" i="2"/>
  <c r="G333" i="2"/>
  <c r="E334" i="2"/>
  <c r="F334" i="2"/>
  <c r="G334" i="2"/>
  <c r="E335" i="2"/>
  <c r="F335" i="2"/>
  <c r="G335" i="2"/>
  <c r="E336" i="2"/>
  <c r="F336" i="2"/>
  <c r="G336" i="2"/>
  <c r="E337" i="2"/>
  <c r="F337" i="2"/>
  <c r="G337" i="2"/>
  <c r="E338" i="2"/>
  <c r="F338" i="2"/>
  <c r="G338" i="2"/>
  <c r="E339" i="2"/>
  <c r="F339" i="2"/>
  <c r="G339" i="2"/>
  <c r="E340" i="2"/>
  <c r="F340" i="2"/>
  <c r="G340" i="2"/>
  <c r="L340" i="2" s="1"/>
  <c r="E341" i="2"/>
  <c r="F341" i="2"/>
  <c r="G341" i="2"/>
  <c r="E342" i="2"/>
  <c r="F342" i="2"/>
  <c r="G342" i="2"/>
  <c r="E343" i="2"/>
  <c r="F343" i="2"/>
  <c r="G343" i="2"/>
  <c r="E344" i="2"/>
  <c r="F344" i="2"/>
  <c r="G344" i="2"/>
  <c r="E345" i="2"/>
  <c r="F345" i="2"/>
  <c r="G345" i="2"/>
  <c r="E346" i="2"/>
  <c r="F346" i="2"/>
  <c r="G346" i="2"/>
  <c r="E347" i="2"/>
  <c r="F347" i="2"/>
  <c r="G347" i="2"/>
  <c r="L347" i="2" s="1"/>
  <c r="E348" i="2"/>
  <c r="F348" i="2"/>
  <c r="G348" i="2"/>
  <c r="E349" i="2"/>
  <c r="F349" i="2"/>
  <c r="G349" i="2"/>
  <c r="E350" i="2"/>
  <c r="F350" i="2"/>
  <c r="G350" i="2"/>
  <c r="E351" i="2"/>
  <c r="F351" i="2"/>
  <c r="G351" i="2"/>
  <c r="E352" i="2"/>
  <c r="F352" i="2"/>
  <c r="G352" i="2"/>
  <c r="E353" i="2"/>
  <c r="F353" i="2"/>
  <c r="G353" i="2"/>
  <c r="E354" i="2"/>
  <c r="F354" i="2"/>
  <c r="G354" i="2"/>
  <c r="E355" i="2"/>
  <c r="F355" i="2"/>
  <c r="G355" i="2"/>
  <c r="E356" i="2"/>
  <c r="F356" i="2"/>
  <c r="G356" i="2"/>
  <c r="L356" i="2" s="1"/>
  <c r="E357" i="2"/>
  <c r="F357" i="2"/>
  <c r="G357" i="2"/>
  <c r="E358" i="2"/>
  <c r="F358" i="2"/>
  <c r="G358" i="2"/>
  <c r="E359" i="2"/>
  <c r="F359" i="2"/>
  <c r="G359" i="2"/>
  <c r="E360" i="2"/>
  <c r="F360" i="2"/>
  <c r="G360" i="2"/>
  <c r="E361" i="2"/>
  <c r="F361" i="2"/>
  <c r="G361" i="2"/>
  <c r="E362" i="2"/>
  <c r="F362" i="2"/>
  <c r="G362" i="2"/>
  <c r="E363" i="2"/>
  <c r="F363" i="2"/>
  <c r="G363" i="2"/>
  <c r="L363" i="2" s="1"/>
  <c r="E364" i="2"/>
  <c r="F364" i="2"/>
  <c r="G364" i="2"/>
  <c r="E365" i="2"/>
  <c r="F365" i="2"/>
  <c r="G365" i="2"/>
  <c r="E366" i="2"/>
  <c r="F366" i="2"/>
  <c r="G366" i="2"/>
  <c r="E367" i="2"/>
  <c r="F367" i="2"/>
  <c r="G367" i="2"/>
  <c r="E368" i="2"/>
  <c r="F368" i="2"/>
  <c r="G368" i="2"/>
  <c r="E369" i="2"/>
  <c r="F369" i="2"/>
  <c r="G369" i="2"/>
  <c r="E370" i="2"/>
  <c r="F370" i="2"/>
  <c r="G370" i="2"/>
  <c r="E371" i="2"/>
  <c r="F371" i="2"/>
  <c r="G371" i="2"/>
  <c r="E372" i="2"/>
  <c r="F372" i="2"/>
  <c r="G372" i="2"/>
  <c r="L372" i="2" s="1"/>
  <c r="E373" i="2"/>
  <c r="F373" i="2"/>
  <c r="G373" i="2"/>
  <c r="E374" i="2"/>
  <c r="F374" i="2"/>
  <c r="G374" i="2"/>
  <c r="E375" i="2"/>
  <c r="F375" i="2"/>
  <c r="G375" i="2"/>
  <c r="E376" i="2"/>
  <c r="F376" i="2"/>
  <c r="G376" i="2"/>
  <c r="E377" i="2"/>
  <c r="F377" i="2"/>
  <c r="G377" i="2"/>
  <c r="E378" i="2"/>
  <c r="F378" i="2"/>
  <c r="G378" i="2"/>
  <c r="E379" i="2"/>
  <c r="F379" i="2"/>
  <c r="G379" i="2"/>
  <c r="L379" i="2" s="1"/>
  <c r="E380" i="2"/>
  <c r="F380" i="2"/>
  <c r="G380" i="2"/>
  <c r="E381" i="2"/>
  <c r="F381" i="2"/>
  <c r="G381" i="2"/>
  <c r="E382" i="2"/>
  <c r="F382" i="2"/>
  <c r="G382" i="2"/>
  <c r="E383" i="2"/>
  <c r="F383" i="2"/>
  <c r="G383" i="2"/>
  <c r="E384" i="2"/>
  <c r="F384" i="2"/>
  <c r="G384" i="2"/>
  <c r="E385" i="2"/>
  <c r="F385" i="2"/>
  <c r="G385" i="2"/>
  <c r="E386" i="2"/>
  <c r="F386" i="2"/>
  <c r="G386" i="2"/>
  <c r="E387" i="2"/>
  <c r="F387" i="2"/>
  <c r="G387" i="2"/>
  <c r="E388" i="2"/>
  <c r="F388" i="2"/>
  <c r="G388" i="2"/>
  <c r="L388" i="2" s="1"/>
  <c r="E389" i="2"/>
  <c r="F389" i="2"/>
  <c r="G389" i="2"/>
  <c r="E390" i="2"/>
  <c r="F390" i="2"/>
  <c r="G390" i="2"/>
  <c r="E391" i="2"/>
  <c r="F391" i="2"/>
  <c r="G391" i="2"/>
  <c r="E392" i="2"/>
  <c r="F392" i="2"/>
  <c r="G392" i="2"/>
  <c r="E393" i="2"/>
  <c r="F393" i="2"/>
  <c r="G393" i="2"/>
  <c r="E394" i="2"/>
  <c r="F394" i="2"/>
  <c r="G394" i="2"/>
  <c r="E395" i="2"/>
  <c r="F395" i="2"/>
  <c r="G395" i="2"/>
  <c r="E396" i="2"/>
  <c r="F396" i="2"/>
  <c r="G396" i="2"/>
  <c r="E397" i="2"/>
  <c r="F397" i="2"/>
  <c r="G397" i="2"/>
  <c r="E398" i="2"/>
  <c r="F398" i="2"/>
  <c r="G398" i="2"/>
  <c r="E399" i="2"/>
  <c r="F399" i="2"/>
  <c r="G399" i="2"/>
  <c r="E400" i="2"/>
  <c r="F400" i="2"/>
  <c r="G400" i="2"/>
  <c r="E401" i="2"/>
  <c r="F401" i="2"/>
  <c r="G401" i="2"/>
  <c r="E402" i="2"/>
  <c r="F402" i="2"/>
  <c r="G402" i="2"/>
  <c r="E403" i="2"/>
  <c r="F403" i="2"/>
  <c r="G403" i="2"/>
  <c r="E404" i="2"/>
  <c r="F404" i="2"/>
  <c r="G404" i="2"/>
  <c r="L404" i="2" s="1"/>
  <c r="E405" i="2"/>
  <c r="F405" i="2"/>
  <c r="G405" i="2"/>
  <c r="E406" i="2"/>
  <c r="F406" i="2"/>
  <c r="G406" i="2"/>
  <c r="E407" i="2"/>
  <c r="F407" i="2"/>
  <c r="G407" i="2"/>
  <c r="E408" i="2"/>
  <c r="F408" i="2"/>
  <c r="G408" i="2"/>
  <c r="E409" i="2"/>
  <c r="F409" i="2"/>
  <c r="G409" i="2"/>
  <c r="E410" i="2"/>
  <c r="F410" i="2"/>
  <c r="G410" i="2"/>
  <c r="E411" i="2"/>
  <c r="F411" i="2"/>
  <c r="G411" i="2"/>
  <c r="E412" i="2"/>
  <c r="F412" i="2"/>
  <c r="G412" i="2"/>
  <c r="E413" i="2"/>
  <c r="F413" i="2"/>
  <c r="G413" i="2"/>
  <c r="E414" i="2"/>
  <c r="F414" i="2"/>
  <c r="G414" i="2"/>
  <c r="E415" i="2"/>
  <c r="F415" i="2"/>
  <c r="G415" i="2"/>
  <c r="E416" i="2"/>
  <c r="F416" i="2"/>
  <c r="G416" i="2"/>
  <c r="E417" i="2"/>
  <c r="F417" i="2"/>
  <c r="G417" i="2"/>
  <c r="E418" i="2"/>
  <c r="F418" i="2"/>
  <c r="G418" i="2"/>
  <c r="E419" i="2"/>
  <c r="F419" i="2"/>
  <c r="G419" i="2"/>
  <c r="E420" i="2"/>
  <c r="F420" i="2"/>
  <c r="G420" i="2"/>
  <c r="L420" i="2" s="1"/>
  <c r="E421" i="2"/>
  <c r="F421" i="2"/>
  <c r="G421" i="2"/>
  <c r="E422" i="2"/>
  <c r="F422" i="2"/>
  <c r="G422" i="2"/>
  <c r="E423" i="2"/>
  <c r="F423" i="2"/>
  <c r="G423" i="2"/>
  <c r="E424" i="2"/>
  <c r="F424" i="2"/>
  <c r="G424" i="2"/>
  <c r="E425" i="2"/>
  <c r="F425" i="2"/>
  <c r="G425" i="2"/>
  <c r="E426" i="2"/>
  <c r="F426" i="2"/>
  <c r="G426" i="2"/>
  <c r="E427" i="2"/>
  <c r="F427" i="2"/>
  <c r="G427" i="2"/>
  <c r="L427" i="2" s="1"/>
  <c r="E428" i="2"/>
  <c r="F428" i="2"/>
  <c r="G428" i="2"/>
  <c r="E429" i="2"/>
  <c r="F429" i="2"/>
  <c r="G429" i="2"/>
  <c r="E430" i="2"/>
  <c r="F430" i="2"/>
  <c r="G430" i="2"/>
  <c r="E431" i="2"/>
  <c r="F431" i="2"/>
  <c r="G431" i="2"/>
  <c r="E432" i="2"/>
  <c r="F432" i="2"/>
  <c r="G432" i="2"/>
  <c r="E433" i="2"/>
  <c r="F433" i="2"/>
  <c r="G433" i="2"/>
  <c r="E434" i="2"/>
  <c r="F434" i="2"/>
  <c r="G434" i="2"/>
  <c r="E435" i="2"/>
  <c r="F435" i="2"/>
  <c r="G435" i="2"/>
  <c r="E436" i="2"/>
  <c r="F436" i="2"/>
  <c r="G436" i="2"/>
  <c r="L436" i="2" s="1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L443" i="2" s="1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E449" i="2"/>
  <c r="F449" i="2"/>
  <c r="G449" i="2"/>
  <c r="E450" i="2"/>
  <c r="F450" i="2"/>
  <c r="G450" i="2"/>
  <c r="F3" i="2"/>
  <c r="G3" i="2"/>
  <c r="E3" i="2"/>
  <c r="L450" i="2" l="1"/>
  <c r="L402" i="2"/>
  <c r="L386" i="2"/>
  <c r="L338" i="2"/>
  <c r="L130" i="2"/>
  <c r="L66" i="2"/>
  <c r="L18" i="2"/>
  <c r="L426" i="2"/>
  <c r="L410" i="2"/>
  <c r="L394" i="2"/>
  <c r="L378" i="2"/>
  <c r="L362" i="2"/>
  <c r="L346" i="2"/>
  <c r="L330" i="2"/>
  <c r="L314" i="2"/>
  <c r="L298" i="2"/>
  <c r="L282" i="2"/>
  <c r="L266" i="2"/>
  <c r="L250" i="2"/>
  <c r="L234" i="2"/>
  <c r="L218" i="2"/>
  <c r="L202" i="2"/>
  <c r="L186" i="2"/>
  <c r="L170" i="2"/>
  <c r="L154" i="2"/>
  <c r="L138" i="2"/>
  <c r="L122" i="2"/>
  <c r="L106" i="2"/>
  <c r="L74" i="2"/>
  <c r="L58" i="2"/>
  <c r="L42" i="2"/>
  <c r="L26" i="2"/>
  <c r="L10" i="2"/>
  <c r="L85" i="2"/>
  <c r="L53" i="2"/>
  <c r="L5" i="2"/>
  <c r="L409" i="2"/>
  <c r="L393" i="2"/>
  <c r="L377" i="2"/>
  <c r="L345" i="2"/>
  <c r="L329" i="2"/>
  <c r="L281" i="2"/>
  <c r="L265" i="2"/>
  <c r="L249" i="2"/>
  <c r="L201" i="2"/>
  <c r="L210" i="2"/>
  <c r="L438" i="2"/>
  <c r="L406" i="2"/>
  <c r="L374" i="2"/>
  <c r="L278" i="2"/>
  <c r="L262" i="2"/>
  <c r="L182" i="2"/>
  <c r="L86" i="2"/>
  <c r="L54" i="2"/>
  <c r="L22" i="2"/>
  <c r="L437" i="2"/>
  <c r="L389" i="2"/>
  <c r="L309" i="2"/>
  <c r="L261" i="2"/>
  <c r="L181" i="2"/>
  <c r="L133" i="2"/>
  <c r="L118" i="2"/>
  <c r="L117" i="2"/>
  <c r="L442" i="2"/>
  <c r="L90" i="2"/>
  <c r="L294" i="2"/>
  <c r="L102" i="2"/>
  <c r="L280" i="2"/>
  <c r="L405" i="2"/>
  <c r="L373" i="2"/>
  <c r="L230" i="2"/>
  <c r="L440" i="2"/>
  <c r="L229" i="2"/>
  <c r="L209" i="2"/>
  <c r="L205" i="2"/>
  <c r="L45" i="2"/>
  <c r="L21" i="2"/>
  <c r="L326" i="2"/>
  <c r="L245" i="2"/>
  <c r="L213" i="2"/>
  <c r="L424" i="2"/>
  <c r="L376" i="2"/>
  <c r="L328" i="2"/>
  <c r="L296" i="2"/>
  <c r="L200" i="2"/>
  <c r="L168" i="2"/>
  <c r="L72" i="2"/>
  <c r="L8" i="2"/>
  <c r="L413" i="2"/>
  <c r="L333" i="2"/>
  <c r="L61" i="2"/>
  <c r="L29" i="2"/>
  <c r="L449" i="2"/>
  <c r="L385" i="2"/>
  <c r="L369" i="2"/>
  <c r="L337" i="2"/>
  <c r="L289" i="2"/>
  <c r="L257" i="2"/>
  <c r="L177" i="2"/>
  <c r="L161" i="2"/>
  <c r="L129" i="2"/>
  <c r="L113" i="2"/>
  <c r="L97" i="2"/>
  <c r="L65" i="2"/>
  <c r="L33" i="2"/>
  <c r="L17" i="2"/>
  <c r="L434" i="2"/>
  <c r="L322" i="2"/>
  <c r="L98" i="2"/>
  <c r="L304" i="2"/>
  <c r="L422" i="2"/>
  <c r="L344" i="2"/>
  <c r="L264" i="2"/>
  <c r="L232" i="2"/>
  <c r="L120" i="2"/>
  <c r="L349" i="2"/>
  <c r="L237" i="2"/>
  <c r="L407" i="2"/>
  <c r="L359" i="2"/>
  <c r="L327" i="2"/>
  <c r="L311" i="2"/>
  <c r="L279" i="2"/>
  <c r="L231" i="2"/>
  <c r="L199" i="2"/>
  <c r="L87" i="2"/>
  <c r="L23" i="2"/>
  <c r="L431" i="2"/>
  <c r="L383" i="2"/>
  <c r="L303" i="2"/>
  <c r="L444" i="2"/>
  <c r="L428" i="2"/>
  <c r="L412" i="2"/>
  <c r="L396" i="2"/>
  <c r="L380" i="2"/>
  <c r="L364" i="2"/>
  <c r="L348" i="2"/>
  <c r="L332" i="2"/>
  <c r="L316" i="2"/>
  <c r="L284" i="2"/>
  <c r="L268" i="2"/>
  <c r="L252" i="2"/>
  <c r="L236" i="2"/>
  <c r="L220" i="2"/>
  <c r="L204" i="2"/>
  <c r="L188" i="2"/>
  <c r="L156" i="2"/>
  <c r="L140" i="2"/>
  <c r="L124" i="2"/>
  <c r="L108" i="2"/>
  <c r="L92" i="2"/>
  <c r="L76" i="2"/>
  <c r="L60" i="2"/>
  <c r="L28" i="2"/>
  <c r="L446" i="2"/>
  <c r="L430" i="2"/>
  <c r="L398" i="2"/>
  <c r="L382" i="2"/>
  <c r="L366" i="2"/>
  <c r="L350" i="2"/>
  <c r="L270" i="2"/>
  <c r="L254" i="2"/>
  <c r="L238" i="2"/>
  <c r="L190" i="2"/>
  <c r="L174" i="2"/>
  <c r="L142" i="2"/>
  <c r="L126" i="2"/>
  <c r="L110" i="2"/>
  <c r="L78" i="2"/>
  <c r="L62" i="2"/>
  <c r="L46" i="2"/>
  <c r="L30" i="2"/>
  <c r="L14" i="2"/>
  <c r="L306" i="2"/>
  <c r="L146" i="2"/>
  <c r="L82" i="2"/>
  <c r="L34" i="2"/>
  <c r="L44" i="2"/>
  <c r="L12" i="2"/>
  <c r="L305" i="2"/>
  <c r="L273" i="2"/>
  <c r="L49" i="2"/>
  <c r="L429" i="2"/>
  <c r="L157" i="2"/>
  <c r="L77" i="2"/>
  <c r="L384" i="2"/>
  <c r="L144" i="2"/>
  <c r="L135" i="2"/>
  <c r="L392" i="2"/>
  <c r="L104" i="2"/>
  <c r="L40" i="2"/>
  <c r="L173" i="2"/>
  <c r="L226" i="2"/>
  <c r="L114" i="2"/>
  <c r="L300" i="2"/>
  <c r="L417" i="2"/>
  <c r="L225" i="2"/>
  <c r="L81" i="2"/>
  <c r="L285" i="2"/>
  <c r="L141" i="2"/>
  <c r="L357" i="2"/>
  <c r="L290" i="2"/>
  <c r="L194" i="2"/>
  <c r="L172" i="2"/>
  <c r="L401" i="2"/>
  <c r="L145" i="2"/>
  <c r="L365" i="2"/>
  <c r="L269" i="2"/>
  <c r="L189" i="2"/>
  <c r="L93" i="2"/>
  <c r="L358" i="2"/>
  <c r="L423" i="2"/>
  <c r="L351" i="2"/>
  <c r="L271" i="2"/>
  <c r="L143" i="2"/>
  <c r="L31" i="2"/>
  <c r="L397" i="2"/>
  <c r="L370" i="2"/>
  <c r="L258" i="2"/>
  <c r="L178" i="2"/>
  <c r="L162" i="2"/>
  <c r="L50" i="2"/>
  <c r="L193" i="2"/>
  <c r="L445" i="2"/>
  <c r="L317" i="2"/>
  <c r="L221" i="2"/>
  <c r="L109" i="2"/>
  <c r="L321" i="2"/>
  <c r="L241" i="2"/>
  <c r="L198" i="2"/>
  <c r="L139" i="2"/>
  <c r="L331" i="2"/>
  <c r="L400" i="2"/>
  <c r="L288" i="2"/>
  <c r="L101" i="2"/>
  <c r="L287" i="2"/>
  <c r="L255" i="2"/>
  <c r="L95" i="2"/>
  <c r="L381" i="2"/>
  <c r="L253" i="2"/>
  <c r="L125" i="2"/>
  <c r="L13" i="2"/>
  <c r="L134" i="2"/>
  <c r="L251" i="2"/>
  <c r="L336" i="2"/>
  <c r="L272" i="2"/>
  <c r="L64" i="2"/>
  <c r="L16" i="2"/>
  <c r="L325" i="2"/>
  <c r="L293" i="2"/>
  <c r="L246" i="2"/>
  <c r="L447" i="2"/>
  <c r="L415" i="2"/>
  <c r="L343" i="2"/>
  <c r="L103" i="2"/>
  <c r="L342" i="2"/>
  <c r="L214" i="2"/>
  <c r="L166" i="2"/>
  <c r="L425" i="2"/>
  <c r="L313" i="2"/>
  <c r="L233" i="2"/>
  <c r="L433" i="2"/>
  <c r="L416" i="2"/>
  <c r="L368" i="2"/>
  <c r="L352" i="2"/>
  <c r="L240" i="2"/>
  <c r="L224" i="2"/>
  <c r="L176" i="2"/>
  <c r="L128" i="2"/>
  <c r="L421" i="2"/>
  <c r="L247" i="2"/>
  <c r="L367" i="2"/>
  <c r="L335" i="2"/>
  <c r="L319" i="2"/>
  <c r="L223" i="2"/>
  <c r="L207" i="2"/>
  <c r="L191" i="2"/>
  <c r="L175" i="2"/>
  <c r="L159" i="2"/>
  <c r="L127" i="2"/>
  <c r="L111" i="2"/>
  <c r="L391" i="2"/>
  <c r="L215" i="2"/>
  <c r="L167" i="2"/>
  <c r="L151" i="2"/>
  <c r="L71" i="2"/>
  <c r="L39" i="2"/>
  <c r="L353" i="2"/>
  <c r="L411" i="2"/>
  <c r="L448" i="2"/>
  <c r="L192" i="2"/>
  <c r="L96" i="2"/>
  <c r="L32" i="2"/>
  <c r="L197" i="2"/>
  <c r="L399" i="2"/>
  <c r="L239" i="2"/>
  <c r="L79" i="2"/>
  <c r="L63" i="2"/>
  <c r="L47" i="2"/>
  <c r="L15" i="2"/>
  <c r="L390" i="2"/>
  <c r="L310" i="2"/>
  <c r="L150" i="2"/>
  <c r="L38" i="2"/>
  <c r="L435" i="2"/>
  <c r="L419" i="2"/>
  <c r="L387" i="2"/>
  <c r="L371" i="2"/>
  <c r="L323" i="2"/>
  <c r="L291" i="2"/>
  <c r="L275" i="2"/>
  <c r="L259" i="2"/>
  <c r="L211" i="2"/>
  <c r="L195" i="2"/>
  <c r="L163" i="2"/>
  <c r="L147" i="2"/>
  <c r="L131" i="2"/>
  <c r="L99" i="2"/>
  <c r="L51" i="2"/>
  <c r="L35" i="2"/>
  <c r="L208" i="2"/>
  <c r="L149" i="2"/>
  <c r="L37" i="2"/>
  <c r="L7" i="2"/>
  <c r="L80" i="2"/>
  <c r="L165" i="2"/>
  <c r="L70" i="2"/>
  <c r="L6" i="2"/>
  <c r="L286" i="2"/>
  <c r="L158" i="2"/>
  <c r="L94" i="2"/>
  <c r="L318" i="2"/>
  <c r="L206" i="2"/>
  <c r="L283" i="2"/>
  <c r="L203" i="2"/>
  <c r="L155" i="2"/>
  <c r="L91" i="2"/>
  <c r="L27" i="2"/>
  <c r="L320" i="2"/>
  <c r="L48" i="2"/>
  <c r="L341" i="2"/>
  <c r="L277" i="2"/>
  <c r="L69" i="2"/>
  <c r="L4" i="2"/>
  <c r="L441" i="2"/>
  <c r="L361" i="2"/>
  <c r="L297" i="2"/>
  <c r="L217" i="2"/>
  <c r="L185" i="2"/>
  <c r="L169" i="2"/>
  <c r="L153" i="2"/>
  <c r="L137" i="2"/>
  <c r="L121" i="2"/>
  <c r="L105" i="2"/>
  <c r="L89" i="2"/>
  <c r="L73" i="2"/>
  <c r="L57" i="2"/>
  <c r="L41" i="2"/>
  <c r="L25" i="2"/>
  <c r="L9" i="2"/>
  <c r="L414" i="2"/>
  <c r="L334" i="2"/>
  <c r="L302" i="2"/>
  <c r="L222" i="2"/>
  <c r="L354" i="2"/>
  <c r="L274" i="2"/>
  <c r="L242" i="2"/>
  <c r="L395" i="2"/>
  <c r="L432" i="2"/>
  <c r="L256" i="2"/>
  <c r="L160" i="2"/>
  <c r="L112" i="2"/>
  <c r="L403" i="2"/>
  <c r="L355" i="2"/>
  <c r="L339" i="2"/>
  <c r="L307" i="2"/>
  <c r="L243" i="2"/>
  <c r="L227" i="2"/>
  <c r="L179" i="2"/>
  <c r="L115" i="2"/>
  <c r="L83" i="2"/>
  <c r="L67" i="2"/>
  <c r="L19" i="2"/>
  <c r="L3" i="2"/>
  <c r="L408" i="2"/>
  <c r="L360" i="2"/>
  <c r="L312" i="2"/>
  <c r="L248" i="2"/>
  <c r="L216" i="2"/>
  <c r="L184" i="2"/>
  <c r="L152" i="2"/>
  <c r="L136" i="2"/>
  <c r="L88" i="2"/>
  <c r="L56" i="2"/>
  <c r="L301" i="2"/>
  <c r="L418" i="2"/>
  <c r="L439" i="2"/>
  <c r="L375" i="2"/>
  <c r="L295" i="2"/>
  <c r="L263" i="2"/>
  <c r="L183" i="2"/>
  <c r="L119" i="2"/>
  <c r="L55" i="2"/>
  <c r="L24" i="2"/>
</calcChain>
</file>

<file path=xl/sharedStrings.xml><?xml version="1.0" encoding="utf-8"?>
<sst xmlns="http://schemas.openxmlformats.org/spreadsheetml/2006/main" count="2232" uniqueCount="648">
  <si>
    <r>
      <rPr>
        <b/>
        <sz val="10"/>
        <color theme="1"/>
        <rFont val="Roboto"/>
      </rPr>
      <t xml:space="preserve">Problem Statement: </t>
    </r>
    <r>
      <rPr>
        <sz val="10"/>
        <color theme="1"/>
        <rFont val="Roboto"/>
      </rPr>
      <t>You have to analyze the learner data provided to you in the sheet and answer the questions given below.</t>
    </r>
  </si>
  <si>
    <r>
      <rPr>
        <b/>
        <sz val="10"/>
        <color theme="1"/>
        <rFont val="Roboto"/>
      </rPr>
      <t xml:space="preserve">Output Expectation: </t>
    </r>
    <r>
      <rPr>
        <sz val="10"/>
        <color theme="1"/>
        <rFont val="Roboto"/>
      </rPr>
      <t>A clean, formatted .xlsx file answering the questions below</t>
    </r>
  </si>
  <si>
    <t>Questions to answer:</t>
  </si>
  <si>
    <r>
      <rPr>
        <sz val="10"/>
        <color theme="1"/>
        <rFont val="Roboto"/>
      </rPr>
      <t xml:space="preserve">2/ How does learner attendance change over the course of the term? Please provide insights into the attendance metrics and the various factors that may be influencing these trends. </t>
    </r>
    <r>
      <rPr>
        <b/>
        <sz val="10"/>
        <color theme="1"/>
        <rFont val="Roboto"/>
      </rPr>
      <t xml:space="preserve"># analyse the data to provide insights
</t>
    </r>
  </si>
  <si>
    <r>
      <rPr>
        <sz val="10"/>
        <color theme="1"/>
        <rFont val="Roboto"/>
      </rPr>
      <t xml:space="preserve">3/ Calculate the final grades (AA, A, B, C, etc) for the entire term for all learners. The final grade should be a comprehensive representation of the learner's performance across subjects.  </t>
    </r>
    <r>
      <rPr>
        <b/>
        <sz val="10"/>
        <color theme="1"/>
        <rFont val="Roboto"/>
      </rPr>
      <t>#qualitative analysis</t>
    </r>
  </si>
  <si>
    <t xml:space="preserve">Workbook Overview: </t>
  </si>
  <si>
    <t>Tab Name</t>
  </si>
  <si>
    <t>Description</t>
  </si>
  <si>
    <t>Learner Attendance</t>
  </si>
  <si>
    <t xml:space="preserve">Attendance details for all learners across sessions. </t>
  </si>
  <si>
    <t>Session Details</t>
  </si>
  <si>
    <t>Tracker mapping the subject, instructor, and session type for each session. Sessions are sorted in the sequence that they take place throughout the term.</t>
  </si>
  <si>
    <t>Session Mode</t>
  </si>
  <si>
    <t>Details on the mode of delivery for the sessions</t>
  </si>
  <si>
    <t>Quiz Scores</t>
  </si>
  <si>
    <t>Raw scores for the quiz that has to be attempted after each session. In case a student is absent, they can still attempt the test, however, there will be 5 mark deduction to their raw score. Maximum score: 20</t>
  </si>
  <si>
    <t>Grading Criteria &amp; Weightage</t>
  </si>
  <si>
    <t>Relative grading criteria for the post-session quiz scores.</t>
  </si>
  <si>
    <t>Additional Instructions:</t>
  </si>
  <si>
    <t>1/ Please ensure data hygiene while performing the analysis</t>
  </si>
  <si>
    <t xml:space="preserve">2/ Use formulas wherever possible so that we can trace back your solutions and analysis </t>
  </si>
  <si>
    <t>Learner ID</t>
  </si>
  <si>
    <t>Session ID</t>
  </si>
  <si>
    <t>Attendance Status</t>
  </si>
  <si>
    <t>L001</t>
  </si>
  <si>
    <t>S018</t>
  </si>
  <si>
    <t>Present</t>
  </si>
  <si>
    <t>S016</t>
  </si>
  <si>
    <t>S017</t>
  </si>
  <si>
    <t>Absent</t>
  </si>
  <si>
    <t>S020</t>
  </si>
  <si>
    <t>S002</t>
  </si>
  <si>
    <t>S008</t>
  </si>
  <si>
    <t>S012</t>
  </si>
  <si>
    <t>S010</t>
  </si>
  <si>
    <t>S007</t>
  </si>
  <si>
    <t>S005</t>
  </si>
  <si>
    <t>Late</t>
  </si>
  <si>
    <t>S019</t>
  </si>
  <si>
    <t>S011</t>
  </si>
  <si>
    <t>S006</t>
  </si>
  <si>
    <t>S015</t>
  </si>
  <si>
    <t>L002</t>
  </si>
  <si>
    <t>S001</t>
  </si>
  <si>
    <t>S013</t>
  </si>
  <si>
    <t>S009</t>
  </si>
  <si>
    <t>S014</t>
  </si>
  <si>
    <t>S004</t>
  </si>
  <si>
    <t>L003</t>
  </si>
  <si>
    <t>L004</t>
  </si>
  <si>
    <t>S003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</si>
  <si>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</si>
  <si>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</si>
  <si>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</si>
  <si>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</si>
  <si>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</si>
  <si>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</si>
  <si>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</si>
  <si>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</si>
  <si>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</si>
  <si>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</si>
  <si>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</si>
  <si>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</si>
  <si>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</si>
  <si>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</si>
  <si>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</si>
  <si>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</si>
  <si>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</si>
  <si>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</si>
  <si>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</si>
  <si>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</si>
  <si>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</si>
  <si>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</si>
  <si>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</si>
  <si>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</si>
  <si>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</si>
  <si>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</si>
  <si>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</si>
  <si>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</si>
  <si>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</si>
  <si>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</si>
  <si>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</si>
  <si>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</si>
  <si>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</si>
  <si>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</si>
  <si>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</si>
  <si>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</si>
  <si>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</si>
  <si>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</si>
  <si>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</si>
  <si>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</si>
  <si>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</si>
  <si>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</si>
  <si>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</si>
  <si>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</si>
  <si>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</si>
  <si>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</si>
  <si>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Subject</t>
  </si>
  <si>
    <t>Instructor ID</t>
  </si>
  <si>
    <t>Session Type</t>
  </si>
  <si>
    <t>CS Fundamentals</t>
  </si>
  <si>
    <t>IN_2</t>
  </si>
  <si>
    <t>Theory Session</t>
  </si>
  <si>
    <t>IN_3</t>
  </si>
  <si>
    <t>Practical</t>
  </si>
  <si>
    <t>Algebra Basics</t>
  </si>
  <si>
    <t>IN_7</t>
  </si>
  <si>
    <t>Workshop</t>
  </si>
  <si>
    <t>Foundations of ML</t>
  </si>
  <si>
    <t>IN_4</t>
  </si>
  <si>
    <t>Communication</t>
  </si>
  <si>
    <t>IN_6</t>
  </si>
  <si>
    <t>IN_1</t>
  </si>
  <si>
    <t>IN_5</t>
  </si>
  <si>
    <t>Mode</t>
  </si>
  <si>
    <t>Online</t>
  </si>
  <si>
    <t>Offline</t>
  </si>
  <si>
    <t>IMPORTANT ( For solving question 3)</t>
  </si>
  <si>
    <t>Note:</t>
  </si>
  <si>
    <t>In case a student is absent, they can still attempt the test, however, there will be 5 mark deduction to their raw score. Maximum score: 20</t>
  </si>
  <si>
    <t>Weightage for Final Grade</t>
  </si>
  <si>
    <t>Total</t>
  </si>
  <si>
    <t>Percentile Rank</t>
  </si>
  <si>
    <t>Grade</t>
  </si>
  <si>
    <t>Top 10%</t>
  </si>
  <si>
    <t>AA</t>
  </si>
  <si>
    <t>80% - 90%</t>
  </si>
  <si>
    <t>A</t>
  </si>
  <si>
    <t>60% - 80%</t>
  </si>
  <si>
    <t>B</t>
  </si>
  <si>
    <t>40% - 60%</t>
  </si>
  <si>
    <t>C</t>
  </si>
  <si>
    <t>Below 40%</t>
  </si>
  <si>
    <t>D</t>
  </si>
  <si>
    <r>
      <t xml:space="preserve">1/ Create a mastersheet with the coloumns Learner ID , Session ID, Attendance Status, Subject, Session Type, Mode ,Instructor ID by using the neccessary functions (combine the datas from various sheet). </t>
    </r>
    <r>
      <rPr>
        <b/>
        <sz val="10"/>
        <color theme="1"/>
        <rFont val="Roboto"/>
      </rPr>
      <t>#this should be the first step of any analyis done using excel</t>
    </r>
  </si>
  <si>
    <t>L001S005</t>
  </si>
  <si>
    <t>L001S003</t>
  </si>
  <si>
    <t>L001S006</t>
  </si>
  <si>
    <t>L001S013</t>
  </si>
  <si>
    <t>L001S012</t>
  </si>
  <si>
    <t>L002S011</t>
  </si>
  <si>
    <t>L002S003</t>
  </si>
  <si>
    <t>L002S007</t>
  </si>
  <si>
    <t>L002S010</t>
  </si>
  <si>
    <t>L002S016</t>
  </si>
  <si>
    <t>L002S002</t>
  </si>
  <si>
    <t>L002S017</t>
  </si>
  <si>
    <t>L002S009</t>
  </si>
  <si>
    <t>L002S012</t>
  </si>
  <si>
    <t>L002S006</t>
  </si>
  <si>
    <t>L003S001</t>
  </si>
  <si>
    <t>L003S007</t>
  </si>
  <si>
    <t>L003S002</t>
  </si>
  <si>
    <t>L003S014</t>
  </si>
  <si>
    <t>L003S003</t>
  </si>
  <si>
    <t>L003S011</t>
  </si>
  <si>
    <t>L003S010</t>
  </si>
  <si>
    <t>L003S015</t>
  </si>
  <si>
    <t>L003S009</t>
  </si>
  <si>
    <t>L003S012</t>
  </si>
  <si>
    <t>L004S017</t>
  </si>
  <si>
    <t>L004S015</t>
  </si>
  <si>
    <t>L004S005</t>
  </si>
  <si>
    <t>L004S014</t>
  </si>
  <si>
    <t>L004S010</t>
  </si>
  <si>
    <t>L004S002</t>
  </si>
  <si>
    <t>L004S020</t>
  </si>
  <si>
    <t>L004S013</t>
  </si>
  <si>
    <t>L004S001</t>
  </si>
  <si>
    <t>L004S004</t>
  </si>
  <si>
    <t>L004S019</t>
  </si>
  <si>
    <t>L005S005</t>
  </si>
  <si>
    <t>L005S001</t>
  </si>
  <si>
    <t>L005S013</t>
  </si>
  <si>
    <t>L005S004</t>
  </si>
  <si>
    <t>L005S003</t>
  </si>
  <si>
    <t>L005S011</t>
  </si>
  <si>
    <t>L005S008</t>
  </si>
  <si>
    <t>L005S019</t>
  </si>
  <si>
    <t>L005S007</t>
  </si>
  <si>
    <t>L006S004</t>
  </si>
  <si>
    <t>L006S013</t>
  </si>
  <si>
    <t>L006S006</t>
  </si>
  <si>
    <t>L006S007</t>
  </si>
  <si>
    <t>L006S017</t>
  </si>
  <si>
    <t>L006S020</t>
  </si>
  <si>
    <t>L006S003</t>
  </si>
  <si>
    <t>L006S011</t>
  </si>
  <si>
    <t>L006S001</t>
  </si>
  <si>
    <t>L006S019</t>
  </si>
  <si>
    <t>L006S008</t>
  </si>
  <si>
    <t>L006S005</t>
  </si>
  <si>
    <t>L006S002</t>
  </si>
  <si>
    <t>L006S010</t>
  </si>
  <si>
    <t>L007S011</t>
  </si>
  <si>
    <t>L007S005</t>
  </si>
  <si>
    <t>L007S003</t>
  </si>
  <si>
    <t>L007S004</t>
  </si>
  <si>
    <t>L007S014</t>
  </si>
  <si>
    <t>L007S009</t>
  </si>
  <si>
    <t>L007S013</t>
  </si>
  <si>
    <t>L007S019</t>
  </si>
  <si>
    <t>L007S020</t>
  </si>
  <si>
    <t>L008S010</t>
  </si>
  <si>
    <t>L008S016</t>
  </si>
  <si>
    <t>L008S020</t>
  </si>
  <si>
    <t>L008S008</t>
  </si>
  <si>
    <t>L008S017</t>
  </si>
  <si>
    <t>L008S005</t>
  </si>
  <si>
    <t>L008S018</t>
  </si>
  <si>
    <t>L008S004</t>
  </si>
  <si>
    <t>L008S002</t>
  </si>
  <si>
    <t>L009S002</t>
  </si>
  <si>
    <t>L009S010</t>
  </si>
  <si>
    <t>L009S017</t>
  </si>
  <si>
    <t>L009S003</t>
  </si>
  <si>
    <t>L009S006</t>
  </si>
  <si>
    <t>L009S013</t>
  </si>
  <si>
    <t>L009S019</t>
  </si>
  <si>
    <t>L009S018</t>
  </si>
  <si>
    <t>L009S009</t>
  </si>
  <si>
    <t>L009S011</t>
  </si>
  <si>
    <t>L009S020</t>
  </si>
  <si>
    <t>L009S012</t>
  </si>
  <si>
    <t>L009S015</t>
  </si>
  <si>
    <t>L009S004</t>
  </si>
  <si>
    <t>L010S013</t>
  </si>
  <si>
    <t>L010S009</t>
  </si>
  <si>
    <t>L010S018</t>
  </si>
  <si>
    <t>L010S004</t>
  </si>
  <si>
    <t>L010S019</t>
  </si>
  <si>
    <t>L010S017</t>
  </si>
  <si>
    <t>L010S008</t>
  </si>
  <si>
    <t>L010S007</t>
  </si>
  <si>
    <t>L010S015</t>
  </si>
  <si>
    <t>L010S001</t>
  </si>
  <si>
    <t>L010S011</t>
  </si>
  <si>
    <t>L011S015</t>
  </si>
  <si>
    <t>L011S002</t>
  </si>
  <si>
    <t>L011S007</t>
  </si>
  <si>
    <t>L011S003</t>
  </si>
  <si>
    <t>L011S012</t>
  </si>
  <si>
    <t>L011S011</t>
  </si>
  <si>
    <t>L012S020</t>
  </si>
  <si>
    <t>L012S003</t>
  </si>
  <si>
    <t>L012S013</t>
  </si>
  <si>
    <t>L012S004</t>
  </si>
  <si>
    <t>L012S019</t>
  </si>
  <si>
    <t>L012S012</t>
  </si>
  <si>
    <t>L012S015</t>
  </si>
  <si>
    <t>L012S002</t>
  </si>
  <si>
    <t>L012S014</t>
  </si>
  <si>
    <t>L012S018</t>
  </si>
  <si>
    <t>L012S001</t>
  </si>
  <si>
    <t>L012S006</t>
  </si>
  <si>
    <t>L013S001</t>
  </si>
  <si>
    <t>L013S012</t>
  </si>
  <si>
    <t>L013S008</t>
  </si>
  <si>
    <t>L013S011</t>
  </si>
  <si>
    <t>L013S010</t>
  </si>
  <si>
    <t>L013S017</t>
  </si>
  <si>
    <t>L013S020</t>
  </si>
  <si>
    <t>L013S007</t>
  </si>
  <si>
    <t>L014S008</t>
  </si>
  <si>
    <t>L014S016</t>
  </si>
  <si>
    <t>L014S014</t>
  </si>
  <si>
    <t>L014S015</t>
  </si>
  <si>
    <t>L014S002</t>
  </si>
  <si>
    <t>L014S017</t>
  </si>
  <si>
    <t>L014S001</t>
  </si>
  <si>
    <t>L014S006</t>
  </si>
  <si>
    <t>L014S018</t>
  </si>
  <si>
    <t>L014S007</t>
  </si>
  <si>
    <t>L014S019</t>
  </si>
  <si>
    <t>L014S011</t>
  </si>
  <si>
    <t>L015S018</t>
  </si>
  <si>
    <t>L015S009</t>
  </si>
  <si>
    <t>L015S020</t>
  </si>
  <si>
    <t>L015S013</t>
  </si>
  <si>
    <t>L015S008</t>
  </si>
  <si>
    <t>L015S012</t>
  </si>
  <si>
    <t>L015S001</t>
  </si>
  <si>
    <t>L015S003</t>
  </si>
  <si>
    <t>L015S014</t>
  </si>
  <si>
    <t>L015S011</t>
  </si>
  <si>
    <t>L015S006</t>
  </si>
  <si>
    <t>L016S003</t>
  </si>
  <si>
    <t>L016S007</t>
  </si>
  <si>
    <t>L016S014</t>
  </si>
  <si>
    <t>L016S012</t>
  </si>
  <si>
    <t>L016S018</t>
  </si>
  <si>
    <t>L016S002</t>
  </si>
  <si>
    <t>L016S015</t>
  </si>
  <si>
    <t>L017S018</t>
  </si>
  <si>
    <t>L017S003</t>
  </si>
  <si>
    <t>L017S020</t>
  </si>
  <si>
    <t>L017S006</t>
  </si>
  <si>
    <t>L017S017</t>
  </si>
  <si>
    <t>L017S015</t>
  </si>
  <si>
    <t>L017S009</t>
  </si>
  <si>
    <t>L018S009</t>
  </si>
  <si>
    <t>L018S011</t>
  </si>
  <si>
    <t>L018S016</t>
  </si>
  <si>
    <t>L018S006</t>
  </si>
  <si>
    <t>L018S010</t>
  </si>
  <si>
    <t>L018S020</t>
  </si>
  <si>
    <t>L018S003</t>
  </si>
  <si>
    <t>L018S007</t>
  </si>
  <si>
    <t>L018S008</t>
  </si>
  <si>
    <t>L018S004</t>
  </si>
  <si>
    <t>L018S013</t>
  </si>
  <si>
    <t>L018S005</t>
  </si>
  <si>
    <t>L019S013</t>
  </si>
  <si>
    <t>L019S005</t>
  </si>
  <si>
    <t>L019S004</t>
  </si>
  <si>
    <t>L019S002</t>
  </si>
  <si>
    <t>L019S003</t>
  </si>
  <si>
    <t>L020S019</t>
  </si>
  <si>
    <t>L020S014</t>
  </si>
  <si>
    <t>L020S009</t>
  </si>
  <si>
    <t>L020S001</t>
  </si>
  <si>
    <t>L020S008</t>
  </si>
  <si>
    <t>L020S006</t>
  </si>
  <si>
    <t>L020S018</t>
  </si>
  <si>
    <t>L021S001</t>
  </si>
  <si>
    <t>L021S018</t>
  </si>
  <si>
    <t>L021S015</t>
  </si>
  <si>
    <t>L021S012</t>
  </si>
  <si>
    <t>L021S006</t>
  </si>
  <si>
    <t>L021S004</t>
  </si>
  <si>
    <t>L022S016</t>
  </si>
  <si>
    <t>L022S002</t>
  </si>
  <si>
    <t>L022S004</t>
  </si>
  <si>
    <t>L022S019</t>
  </si>
  <si>
    <t>L022S005</t>
  </si>
  <si>
    <t>L022S010</t>
  </si>
  <si>
    <t>L022S018</t>
  </si>
  <si>
    <t>L022S013</t>
  </si>
  <si>
    <t>L022S009</t>
  </si>
  <si>
    <t>L022S001</t>
  </si>
  <si>
    <t>L022S020</t>
  </si>
  <si>
    <t>L022S014</t>
  </si>
  <si>
    <t>L022S011</t>
  </si>
  <si>
    <t>L023S005</t>
  </si>
  <si>
    <t>L023S010</t>
  </si>
  <si>
    <t>L023S002</t>
  </si>
  <si>
    <t>L023S009</t>
  </si>
  <si>
    <t>L023S018</t>
  </si>
  <si>
    <t>L023S007</t>
  </si>
  <si>
    <t>L023S016</t>
  </si>
  <si>
    <t>L024S012</t>
  </si>
  <si>
    <t>L024S005</t>
  </si>
  <si>
    <t>L024S018</t>
  </si>
  <si>
    <t>L024S013</t>
  </si>
  <si>
    <t>L024S015</t>
  </si>
  <si>
    <t>L024S011</t>
  </si>
  <si>
    <t>L024S014</t>
  </si>
  <si>
    <t>L024S002</t>
  </si>
  <si>
    <t>L024S020</t>
  </si>
  <si>
    <t>L024S003</t>
  </si>
  <si>
    <t>L024S001</t>
  </si>
  <si>
    <t>L024S017</t>
  </si>
  <si>
    <t>L025S011</t>
  </si>
  <si>
    <t>L025S012</t>
  </si>
  <si>
    <t>L025S003</t>
  </si>
  <si>
    <t>L025S008</t>
  </si>
  <si>
    <t>L025S014</t>
  </si>
  <si>
    <t>L025S006</t>
  </si>
  <si>
    <t>L026S019</t>
  </si>
  <si>
    <t>L026S011</t>
  </si>
  <si>
    <t>L026S009</t>
  </si>
  <si>
    <t>L026S007</t>
  </si>
  <si>
    <t>L026S005</t>
  </si>
  <si>
    <t>L026S015</t>
  </si>
  <si>
    <t>L026S014</t>
  </si>
  <si>
    <t>L026S002</t>
  </si>
  <si>
    <t>L026S013</t>
  </si>
  <si>
    <t>L026S004</t>
  </si>
  <si>
    <t>L026S008</t>
  </si>
  <si>
    <t>L026S020</t>
  </si>
  <si>
    <t>L027S010</t>
  </si>
  <si>
    <t>L027S013</t>
  </si>
  <si>
    <t>L027S003</t>
  </si>
  <si>
    <t>L027S008</t>
  </si>
  <si>
    <t>L027S001</t>
  </si>
  <si>
    <t>L027S007</t>
  </si>
  <si>
    <t>L027S018</t>
  </si>
  <si>
    <t>L027S005</t>
  </si>
  <si>
    <t>L027S019</t>
  </si>
  <si>
    <t>L027S009</t>
  </si>
  <si>
    <t>L027S014</t>
  </si>
  <si>
    <t>L027S020</t>
  </si>
  <si>
    <t>L028S001</t>
  </si>
  <si>
    <t>L028S018</t>
  </si>
  <si>
    <t>L028S013</t>
  </si>
  <si>
    <t>L028S016</t>
  </si>
  <si>
    <t>L028S002</t>
  </si>
  <si>
    <t>L029S010</t>
  </si>
  <si>
    <t>L029S011</t>
  </si>
  <si>
    <t>L029S006</t>
  </si>
  <si>
    <t>L029S014</t>
  </si>
  <si>
    <t>L029S013</t>
  </si>
  <si>
    <t>L029S002</t>
  </si>
  <si>
    <t>L029S007</t>
  </si>
  <si>
    <t>L030S002</t>
  </si>
  <si>
    <t>L030S017</t>
  </si>
  <si>
    <t>L030S005</t>
  </si>
  <si>
    <t>L030S011</t>
  </si>
  <si>
    <t>L030S007</t>
  </si>
  <si>
    <t>L030S014</t>
  </si>
  <si>
    <t>L030S004</t>
  </si>
  <si>
    <t>L031S012</t>
  </si>
  <si>
    <t>L031S013</t>
  </si>
  <si>
    <t>L031S011</t>
  </si>
  <si>
    <t>L031S002</t>
  </si>
  <si>
    <t>L031S020</t>
  </si>
  <si>
    <t>L031S010</t>
  </si>
  <si>
    <t>L031S019</t>
  </si>
  <si>
    <t>L032S006</t>
  </si>
  <si>
    <t>L032S005</t>
  </si>
  <si>
    <t>L032S015</t>
  </si>
  <si>
    <t>L032S014</t>
  </si>
  <si>
    <t>L032S013</t>
  </si>
  <si>
    <t>L032S019</t>
  </si>
  <si>
    <t>L032S007</t>
  </si>
  <si>
    <t>L032S011</t>
  </si>
  <si>
    <t>L032S004</t>
  </si>
  <si>
    <t>L032S008</t>
  </si>
  <si>
    <t>L032S017</t>
  </si>
  <si>
    <t>L033S019</t>
  </si>
  <si>
    <t>L033S020</t>
  </si>
  <si>
    <t>L033S017</t>
  </si>
  <si>
    <t>L033S014</t>
  </si>
  <si>
    <t>L033S008</t>
  </si>
  <si>
    <t>L033S007</t>
  </si>
  <si>
    <t>L033S013</t>
  </si>
  <si>
    <t>L033S004</t>
  </si>
  <si>
    <t>L033S016</t>
  </si>
  <si>
    <t>L034S010</t>
  </si>
  <si>
    <t>L034S002</t>
  </si>
  <si>
    <t>L034S001</t>
  </si>
  <si>
    <t>L034S020</t>
  </si>
  <si>
    <t>L034S013</t>
  </si>
  <si>
    <t>L034S016</t>
  </si>
  <si>
    <t>L034S018</t>
  </si>
  <si>
    <t>L034S015</t>
  </si>
  <si>
    <t>L034S008</t>
  </si>
  <si>
    <t>L035S001</t>
  </si>
  <si>
    <t>L035S009</t>
  </si>
  <si>
    <t>L035S007</t>
  </si>
  <si>
    <t>L035S014</t>
  </si>
  <si>
    <t>L035S018</t>
  </si>
  <si>
    <t>L036S013</t>
  </si>
  <si>
    <t>L036S014</t>
  </si>
  <si>
    <t>L036S001</t>
  </si>
  <si>
    <t>L036S002</t>
  </si>
  <si>
    <t>L036S005</t>
  </si>
  <si>
    <t>L036S018</t>
  </si>
  <si>
    <t>L036S010</t>
  </si>
  <si>
    <t>L036S003</t>
  </si>
  <si>
    <t>L036S011</t>
  </si>
  <si>
    <t>L037S015</t>
  </si>
  <si>
    <t>L037S017</t>
  </si>
  <si>
    <t>L037S001</t>
  </si>
  <si>
    <t>L037S003</t>
  </si>
  <si>
    <t>L037S005</t>
  </si>
  <si>
    <t>L037S006</t>
  </si>
  <si>
    <t>L037S020</t>
  </si>
  <si>
    <t>L037S010</t>
  </si>
  <si>
    <t>L038S004</t>
  </si>
  <si>
    <t>L038S002</t>
  </si>
  <si>
    <t>L038S010</t>
  </si>
  <si>
    <t>L038S013</t>
  </si>
  <si>
    <t>L038S009</t>
  </si>
  <si>
    <t>L038S016</t>
  </si>
  <si>
    <t>L038S007</t>
  </si>
  <si>
    <t>L038S003</t>
  </si>
  <si>
    <t>L038S006</t>
  </si>
  <si>
    <t>L038S019</t>
  </si>
  <si>
    <t>L038S020</t>
  </si>
  <si>
    <t>L038S014</t>
  </si>
  <si>
    <t>L038S012</t>
  </si>
  <si>
    <t>L038S001</t>
  </si>
  <si>
    <t>L039S006</t>
  </si>
  <si>
    <t>L039S009</t>
  </si>
  <si>
    <t>L039S007</t>
  </si>
  <si>
    <t>L039S013</t>
  </si>
  <si>
    <t>L039S017</t>
  </si>
  <si>
    <t>L039S015</t>
  </si>
  <si>
    <t>L039S016</t>
  </si>
  <si>
    <t>L039S008</t>
  </si>
  <si>
    <t>L039S004</t>
  </si>
  <si>
    <t>L040S003</t>
  </si>
  <si>
    <t>L040S014</t>
  </si>
  <si>
    <t>L040S012</t>
  </si>
  <si>
    <t>L040S015</t>
  </si>
  <si>
    <t>L040S019</t>
  </si>
  <si>
    <t>L040S004</t>
  </si>
  <si>
    <t>L040S011</t>
  </si>
  <si>
    <t>L040S017</t>
  </si>
  <si>
    <t>L040S010</t>
  </si>
  <si>
    <t>L040S008</t>
  </si>
  <si>
    <t>L040S002</t>
  </si>
  <si>
    <t>L040S001</t>
  </si>
  <si>
    <t>L041S013</t>
  </si>
  <si>
    <t>L041S014</t>
  </si>
  <si>
    <t>L041S001</t>
  </si>
  <si>
    <t>L041S019</t>
  </si>
  <si>
    <t>L041S015</t>
  </si>
  <si>
    <t>L041S007</t>
  </si>
  <si>
    <t>L041S003</t>
  </si>
  <si>
    <t>L041S020</t>
  </si>
  <si>
    <t>L041S010</t>
  </si>
  <si>
    <t>L042S004</t>
  </si>
  <si>
    <t>L042S006</t>
  </si>
  <si>
    <t>L042S013</t>
  </si>
  <si>
    <t>L042S009</t>
  </si>
  <si>
    <t>L042S015</t>
  </si>
  <si>
    <t>L042S007</t>
  </si>
  <si>
    <t>L042S019</t>
  </si>
  <si>
    <t>L042S018</t>
  </si>
  <si>
    <t>L042S012</t>
  </si>
  <si>
    <t>L042S020</t>
  </si>
  <si>
    <t>L043S016</t>
  </si>
  <si>
    <t>L043S001</t>
  </si>
  <si>
    <t>L043S009</t>
  </si>
  <si>
    <t>L043S011</t>
  </si>
  <si>
    <t>L043S010</t>
  </si>
  <si>
    <t>L043S006</t>
  </si>
  <si>
    <t>L043S013</t>
  </si>
  <si>
    <t>L044S009</t>
  </si>
  <si>
    <t>L044S014</t>
  </si>
  <si>
    <t>L044S018</t>
  </si>
  <si>
    <t>L044S020</t>
  </si>
  <si>
    <t>L044S016</t>
  </si>
  <si>
    <t>L044S017</t>
  </si>
  <si>
    <t>L044S004</t>
  </si>
  <si>
    <t>L044S013</t>
  </si>
  <si>
    <t>L044S011</t>
  </si>
  <si>
    <t>L044S007</t>
  </si>
  <si>
    <t>L045S009</t>
  </si>
  <si>
    <t>L045S017</t>
  </si>
  <si>
    <t>L045S007</t>
  </si>
  <si>
    <t>L045S008</t>
  </si>
  <si>
    <t>L045S011</t>
  </si>
  <si>
    <t>L045S016</t>
  </si>
  <si>
    <t>L046S011</t>
  </si>
  <si>
    <t>L046S012</t>
  </si>
  <si>
    <t>L046S003</t>
  </si>
  <si>
    <t>L046S018</t>
  </si>
  <si>
    <t>L046S002</t>
  </si>
  <si>
    <t>L046S014</t>
  </si>
  <si>
    <t>L046S009</t>
  </si>
  <si>
    <t>L046S017</t>
  </si>
  <si>
    <t>L046S008</t>
  </si>
  <si>
    <t>L046S020</t>
  </si>
  <si>
    <t>L047S007</t>
  </si>
  <si>
    <t>L047S004</t>
  </si>
  <si>
    <t>L047S012</t>
  </si>
  <si>
    <t>L047S015</t>
  </si>
  <si>
    <t>L047S013</t>
  </si>
  <si>
    <t>L047S011</t>
  </si>
  <si>
    <t>L047S002</t>
  </si>
  <si>
    <t>L047S017</t>
  </si>
  <si>
    <t>L047S020</t>
  </si>
  <si>
    <t>L047S003</t>
  </si>
  <si>
    <t>L047S016</t>
  </si>
  <si>
    <t>L047S008</t>
  </si>
  <si>
    <t>L048S019</t>
  </si>
  <si>
    <t>L048S018</t>
  </si>
  <si>
    <t>L048S008</t>
  </si>
  <si>
    <t>L048S012</t>
  </si>
  <si>
    <t>L048S010</t>
  </si>
  <si>
    <t>L048S017</t>
  </si>
  <si>
    <t>L048S020</t>
  </si>
  <si>
    <t>L048S002</t>
  </si>
  <si>
    <t>L049S001</t>
  </si>
  <si>
    <t>L049S012</t>
  </si>
  <si>
    <t>L049S013</t>
  </si>
  <si>
    <t>L049S005</t>
  </si>
  <si>
    <t>L049S016</t>
  </si>
  <si>
    <t>L049S008</t>
  </si>
  <si>
    <t>L049S006</t>
  </si>
  <si>
    <t>L049S018</t>
  </si>
  <si>
    <t>L049S002</t>
  </si>
  <si>
    <t>L049S011</t>
  </si>
  <si>
    <t>L050S008</t>
  </si>
  <si>
    <t>L050S001</t>
  </si>
  <si>
    <t>L050S019</t>
  </si>
  <si>
    <t>L050S005</t>
  </si>
  <si>
    <t>L050S002</t>
  </si>
  <si>
    <t>L050S006</t>
  </si>
  <si>
    <t>L050S014</t>
  </si>
  <si>
    <t>L050S018</t>
  </si>
  <si>
    <t xml:space="preserve">Quiz marks </t>
  </si>
  <si>
    <t>Learner + Session ID</t>
  </si>
  <si>
    <t>Updated Quiz Marks</t>
  </si>
  <si>
    <t>Raw Quiz Marks</t>
  </si>
  <si>
    <t>quiz mark /20</t>
  </si>
  <si>
    <t xml:space="preserve">Type of Learner </t>
  </si>
  <si>
    <t>Rank</t>
  </si>
  <si>
    <t>Row Labels</t>
  </si>
  <si>
    <t>Grand Total</t>
  </si>
  <si>
    <t>Count of Attendance Status</t>
  </si>
  <si>
    <t>Count of tests Given</t>
  </si>
  <si>
    <t>Sum of weight/No of tests</t>
  </si>
  <si>
    <t>Count of Session ID</t>
  </si>
  <si>
    <t>Average of Updated Quiz Marks</t>
  </si>
  <si>
    <t>Column Labels</t>
  </si>
  <si>
    <t xml:space="preserve">Learner </t>
  </si>
  <si>
    <t xml:space="preserve">Absent </t>
  </si>
  <si>
    <t xml:space="preserve">Present </t>
  </si>
  <si>
    <t>Ratio(present/total classes)</t>
  </si>
  <si>
    <t>Attendance rate by subject to identify which course has the highest and lowest presence, lateness, and absences.</t>
  </si>
  <si>
    <t>Attendance differences by session type (practical vs theory vs workshop) to see which format students prefer.</t>
  </si>
  <si>
    <t>Attendance comparison by delivery mode (online vs offline) to understand where engagement drops.</t>
  </si>
  <si>
    <t>Correlation between each learner’s attendance ratio and their average quiz marks.</t>
  </si>
  <si>
    <t>Insights-</t>
  </si>
  <si>
    <t>Ratio(present/total)</t>
  </si>
  <si>
    <t xml:space="preserve">attendence </t>
  </si>
  <si>
    <t>Ratio(absents/total)</t>
  </si>
  <si>
    <t>In sights-</t>
  </si>
  <si>
    <t>Simply the people who have been more regular to classes have scored a better grade</t>
  </si>
  <si>
    <t>there is direct corelation between people presence in classes to their grades</t>
  </si>
  <si>
    <t xml:space="preserve">L008 has attended all classes but still scored D grade shwoing he comes to class and sleeps </t>
  </si>
  <si>
    <t>L006 has attended less classes but stills cored AA grade showing he studies at home.</t>
  </si>
  <si>
    <t>Instructor Analysis-</t>
  </si>
  <si>
    <t xml:space="preserve">Intrcutor 4 has conducted the highest numebr of sessions and deserves a raise in his salary </t>
  </si>
  <si>
    <t>Instructor 3 and 5 have conducted least numebr oc lasses</t>
  </si>
  <si>
    <t>instrcuctor 2 and 6 have the ability to teach 3 courses , and hence can prove as asset to our organisation</t>
  </si>
  <si>
    <t>Frequency of classes based on the mode of class.</t>
  </si>
  <si>
    <t>How many studenst were absent , present and late</t>
  </si>
  <si>
    <r>
      <t>CS Fundamentals</t>
    </r>
    <r>
      <rPr>
        <sz val="9"/>
        <color rgb="FF000000"/>
        <rFont val="Arial"/>
        <family val="2"/>
        <scheme val="major"/>
      </rPr>
      <t xml:space="preserve"> has the highest attendance rate.</t>
    </r>
  </si>
  <si>
    <r>
      <t>Communication</t>
    </r>
    <r>
      <rPr>
        <sz val="9"/>
        <color rgb="FF000000"/>
        <rFont val="Arial"/>
        <family val="2"/>
        <scheme val="major"/>
      </rPr>
      <t xml:space="preserve"> has the lowest attendance rate and the most absences.</t>
    </r>
  </si>
  <si>
    <r>
      <t>Algebra Basics</t>
    </r>
    <r>
      <rPr>
        <sz val="9"/>
        <color rgb="FF000000"/>
        <rFont val="Arial"/>
        <family val="2"/>
        <scheme val="major"/>
      </rPr>
      <t xml:space="preserve"> has the highest number of late students.</t>
    </r>
  </si>
  <si>
    <r>
      <t>Practical sessions</t>
    </r>
    <r>
      <rPr>
        <sz val="9"/>
        <color rgb="FF000000"/>
        <rFont val="Arial"/>
        <family val="2"/>
        <scheme val="major"/>
      </rPr>
      <t xml:space="preserve"> have the highest attendance rate.</t>
    </r>
  </si>
  <si>
    <r>
      <t>Workshops</t>
    </r>
    <r>
      <rPr>
        <sz val="9"/>
        <color rgb="FF000000"/>
        <rFont val="Arial"/>
        <family val="2"/>
        <scheme val="major"/>
      </rPr>
      <t xml:space="preserve"> have the highest number of absences and late arrivals.</t>
    </r>
  </si>
  <si>
    <r>
      <t>Online sessions</t>
    </r>
    <r>
      <rPr>
        <sz val="9"/>
        <color rgb="FF000000"/>
        <rFont val="Arial"/>
        <family val="2"/>
        <scheme val="major"/>
      </rPr>
      <t xml:space="preserve"> have a higher overall attendance rate than offline sessions.</t>
    </r>
  </si>
  <si>
    <r>
      <t>Offline sessions</t>
    </r>
    <r>
      <rPr>
        <sz val="9"/>
        <color rgb="FF000000"/>
        <rFont val="Arial"/>
        <family val="2"/>
        <scheme val="major"/>
      </rPr>
      <t xml:space="preserve"> record the highest total number of absences and late arrivals.</t>
    </r>
  </si>
  <si>
    <t>My approach-</t>
  </si>
  <si>
    <t>1) created a mastersheet using vlookup</t>
  </si>
  <si>
    <t>2) Found out the studenst who were absent and had non zero raw quiz marks ( which means attended the quiz) , for these students I did -5</t>
  </si>
  <si>
    <t>3) divided updated quiz marks by 20 to get number between 0-1</t>
  </si>
  <si>
    <t xml:space="preserve">      by multiplying i got weighted score for each session</t>
  </si>
  <si>
    <t>Sum of Weights</t>
  </si>
  <si>
    <t>Marks weighted score</t>
  </si>
  <si>
    <t xml:space="preserve">     whichc an be compared to give ranks , sicne all learner id have given different number of tests each of varying importance.</t>
  </si>
  <si>
    <t>4) now I ranked them using this , and finally gave them grades according to their ranks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</si>
</sst>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0"/>
      <color theme="1"/>
      <name val="Roboto"/>
    </font>
    <font>
      <b/>
      <sz val="10"/>
      <color theme="1"/>
      <name val="Roboto"/>
    </font>
    <font>
      <b/>
      <sz val="11"/>
      <color rgb="FFFFFFFF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FFFFFF"/>
      <name val="Calibri"/>
    </font>
    <font>
      <b/>
      <sz val="10"/>
      <color theme="1"/>
      <name val="Calibri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b/>
      <sz val="11"/>
      <color rgb="FFFFFFFF"/>
      <name val="Calibri"/>
      <family val="2"/>
    </font>
    <font>
      <sz val="8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rgb="FF000000"/>
      <name val="Arial"/>
      <family val="2"/>
      <scheme val="major"/>
    </font>
    <font>
      <b/>
      <sz val="9"/>
      <color rgb="FF7030A0"/>
      <name val="Arial"/>
      <family val="2"/>
      <scheme val="major"/>
    </font>
    <font>
      <b/>
      <sz val="9"/>
      <color theme="1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9"/>
      <color theme="0"/>
      <name val="Arial"/>
      <family val="2"/>
      <scheme val="major"/>
    </font>
    <font>
      <sz val="9"/>
      <color theme="0"/>
      <name val="Arial"/>
      <family val="2"/>
      <scheme val="major"/>
    </font>
    <font>
      <sz val="9"/>
      <color theme="1"/>
      <name val="Arial"/>
      <family val="2"/>
      <scheme val="major"/>
    </font>
    <font>
      <sz val="9"/>
      <color theme="9" tint="-0.499984740745262"/>
      <name val="Arial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rgb="FF0B539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/>
      </patternFill>
    </fill>
  </fills>
  <borders count="2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top"/>
    </xf>
    <xf numFmtId="0" fontId="4" fillId="0" borderId="2" xfId="0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3" fillId="4" borderId="0" xfId="0" applyFont="1" applyFill="1" applyAlignment="1">
      <alignment horizontal="center" vertical="top"/>
    </xf>
    <xf numFmtId="0" fontId="4" fillId="5" borderId="0" xfId="0" applyFont="1" applyFill="1"/>
    <xf numFmtId="0" fontId="6" fillId="0" borderId="0" xfId="0" applyFont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7" fillId="2" borderId="2" xfId="0" applyFont="1" applyFill="1" applyBorder="1" applyAlignment="1">
      <alignment horizontal="center"/>
    </xf>
    <xf numFmtId="9" fontId="4" fillId="0" borderId="2" xfId="0" applyNumberFormat="1" applyFont="1" applyBorder="1"/>
    <xf numFmtId="0" fontId="8" fillId="6" borderId="2" xfId="0" applyFont="1" applyFill="1" applyBorder="1"/>
    <xf numFmtId="9" fontId="8" fillId="6" borderId="2" xfId="0" applyNumberFormat="1" applyFont="1" applyFill="1" applyBorder="1"/>
    <xf numFmtId="0" fontId="3" fillId="2" borderId="3" xfId="0" applyFont="1" applyFill="1" applyBorder="1" applyAlignment="1">
      <alignment horizontal="center" vertical="top"/>
    </xf>
    <xf numFmtId="0" fontId="4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4" fillId="0" borderId="8" xfId="0" applyFont="1" applyBorder="1"/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3" xfId="0" applyFont="1" applyBorder="1" applyAlignment="1">
      <alignment horizontal="center"/>
    </xf>
    <xf numFmtId="0" fontId="12" fillId="2" borderId="3" xfId="0" applyFont="1" applyFill="1" applyBorder="1" applyAlignment="1">
      <alignment horizontal="center" vertical="top"/>
    </xf>
    <xf numFmtId="0" fontId="12" fillId="2" borderId="5" xfId="0" applyFont="1" applyFill="1" applyBorder="1" applyAlignment="1">
      <alignment horizontal="center" vertical="top"/>
    </xf>
    <xf numFmtId="0" fontId="10" fillId="0" borderId="0" xfId="0" applyFont="1"/>
    <xf numFmtId="0" fontId="12" fillId="7" borderId="0" xfId="0" applyFont="1" applyFill="1" applyAlignment="1">
      <alignment horizontal="center" vertical="top"/>
    </xf>
    <xf numFmtId="0" fontId="0" fillId="8" borderId="0" xfId="0" applyFill="1"/>
    <xf numFmtId="0" fontId="0" fillId="8" borderId="0" xfId="0" applyFill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8" borderId="0" xfId="0" applyFill="1" applyBorder="1"/>
    <xf numFmtId="0" fontId="0" fillId="8" borderId="0" xfId="0" applyFill="1" applyBorder="1" applyAlignment="1">
      <alignment horizontal="center"/>
    </xf>
    <xf numFmtId="0" fontId="14" fillId="11" borderId="0" xfId="0" applyFont="1" applyFill="1" applyBorder="1" applyAlignment="1">
      <alignment horizontal="center"/>
    </xf>
    <xf numFmtId="0" fontId="15" fillId="10" borderId="0" xfId="0" applyFont="1" applyFill="1" applyBorder="1" applyAlignment="1">
      <alignment horizontal="center"/>
    </xf>
    <xf numFmtId="0" fontId="15" fillId="10" borderId="0" xfId="0" applyNumberFormat="1" applyFont="1" applyFill="1" applyBorder="1" applyAlignment="1">
      <alignment horizontal="center"/>
    </xf>
    <xf numFmtId="0" fontId="10" fillId="8" borderId="0" xfId="0" applyFont="1" applyFill="1" applyBorder="1" applyAlignment="1">
      <alignment horizontal="center"/>
    </xf>
    <xf numFmtId="0" fontId="15" fillId="8" borderId="0" xfId="0" applyFont="1" applyFill="1" applyBorder="1" applyAlignment="1">
      <alignment horizontal="center"/>
    </xf>
    <xf numFmtId="0" fontId="15" fillId="8" borderId="0" xfId="0" applyNumberFormat="1" applyFont="1" applyFill="1" applyBorder="1" applyAlignment="1">
      <alignment horizontal="center"/>
    </xf>
    <xf numFmtId="0" fontId="17" fillId="8" borderId="0" xfId="0" applyFont="1" applyFill="1" applyBorder="1"/>
    <xf numFmtId="0" fontId="17" fillId="0" borderId="0" xfId="0" applyFont="1"/>
    <xf numFmtId="0" fontId="21" fillId="11" borderId="0" xfId="0" applyFont="1" applyFill="1" applyBorder="1" applyAlignment="1">
      <alignment horizontal="center"/>
    </xf>
    <xf numFmtId="0" fontId="23" fillId="10" borderId="0" xfId="0" applyFont="1" applyFill="1" applyBorder="1" applyAlignment="1">
      <alignment horizontal="center"/>
    </xf>
    <xf numFmtId="0" fontId="23" fillId="10" borderId="0" xfId="0" applyNumberFormat="1" applyFont="1" applyFill="1" applyBorder="1" applyAlignment="1">
      <alignment horizontal="center"/>
    </xf>
    <xf numFmtId="0" fontId="17" fillId="8" borderId="0" xfId="0" applyFont="1" applyFill="1" applyBorder="1" applyAlignment="1">
      <alignment horizontal="center"/>
    </xf>
    <xf numFmtId="0" fontId="23" fillId="8" borderId="0" xfId="0" applyFont="1" applyFill="1" applyBorder="1" applyAlignment="1">
      <alignment horizontal="center"/>
    </xf>
    <xf numFmtId="0" fontId="0" fillId="8" borderId="0" xfId="0" applyFill="1" applyBorder="1" applyAlignment="1"/>
    <xf numFmtId="0" fontId="17" fillId="8" borderId="0" xfId="0" applyFont="1" applyFill="1" applyBorder="1" applyAlignment="1"/>
    <xf numFmtId="0" fontId="17" fillId="0" borderId="0" xfId="0" applyFont="1" applyAlignment="1"/>
    <xf numFmtId="0" fontId="17" fillId="0" borderId="0" xfId="0" applyFont="1" applyBorder="1" applyAlignment="1"/>
    <xf numFmtId="0" fontId="10" fillId="0" borderId="0" xfId="0" applyFont="1" applyAlignment="1"/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7" fillId="0" borderId="16" xfId="0" applyFont="1" applyBorder="1" applyAlignment="1"/>
    <xf numFmtId="0" fontId="17" fillId="0" borderId="6" xfId="0" applyFont="1" applyBorder="1" applyAlignment="1"/>
    <xf numFmtId="0" fontId="0" fillId="0" borderId="0" xfId="0" applyAlignment="1"/>
    <xf numFmtId="0" fontId="19" fillId="9" borderId="21" xfId="0" applyFont="1" applyFill="1" applyBorder="1" applyAlignment="1"/>
    <xf numFmtId="0" fontId="19" fillId="9" borderId="11" xfId="0" applyFont="1" applyFill="1" applyBorder="1" applyAlignment="1"/>
    <xf numFmtId="0" fontId="19" fillId="9" borderId="0" xfId="0" applyFont="1" applyFill="1" applyBorder="1" applyAlignment="1"/>
    <xf numFmtId="0" fontId="17" fillId="0" borderId="18" xfId="0" applyFont="1" applyBorder="1" applyAlignment="1"/>
    <xf numFmtId="0" fontId="16" fillId="0" borderId="0" xfId="0" applyFont="1" applyBorder="1" applyAlignment="1">
      <alignment vertical="center" wrapText="1"/>
    </xf>
    <xf numFmtId="0" fontId="17" fillId="0" borderId="17" xfId="0" applyFont="1" applyBorder="1" applyAlignment="1"/>
    <xf numFmtId="0" fontId="17" fillId="0" borderId="0" xfId="0" applyNumberFormat="1" applyFont="1" applyBorder="1" applyAlignment="1"/>
    <xf numFmtId="0" fontId="17" fillId="0" borderId="15" xfId="0" applyFont="1" applyBorder="1" applyAlignment="1"/>
    <xf numFmtId="0" fontId="18" fillId="0" borderId="16" xfId="0" applyFont="1" applyBorder="1" applyAlignment="1"/>
    <xf numFmtId="0" fontId="10" fillId="0" borderId="0" xfId="0" applyFont="1" applyBorder="1" applyAlignment="1">
      <alignment vertical="top" wrapText="1"/>
    </xf>
    <xf numFmtId="0" fontId="19" fillId="10" borderId="0" xfId="0" applyNumberFormat="1" applyFont="1" applyFill="1" applyBorder="1" applyAlignment="1"/>
    <xf numFmtId="0" fontId="19" fillId="10" borderId="22" xfId="0" applyFont="1" applyFill="1" applyBorder="1" applyAlignment="1"/>
    <xf numFmtId="0" fontId="19" fillId="10" borderId="12" xfId="0" applyNumberFormat="1" applyFont="1" applyFill="1" applyBorder="1" applyAlignment="1"/>
    <xf numFmtId="0" fontId="20" fillId="0" borderId="17" xfId="0" applyFont="1" applyBorder="1" applyAlignment="1"/>
    <xf numFmtId="0" fontId="20" fillId="0" borderId="14" xfId="0" applyFont="1" applyBorder="1" applyAlignment="1"/>
    <xf numFmtId="0" fontId="17" fillId="0" borderId="19" xfId="0" applyFont="1" applyBorder="1" applyAlignment="1"/>
    <xf numFmtId="0" fontId="17" fillId="8" borderId="19" xfId="0" applyFont="1" applyFill="1" applyBorder="1" applyAlignment="1"/>
    <xf numFmtId="0" fontId="17" fillId="0" borderId="13" xfId="0" applyFont="1" applyBorder="1" applyAlignment="1"/>
    <xf numFmtId="0" fontId="19" fillId="10" borderId="0" xfId="0" applyFont="1" applyFill="1" applyBorder="1" applyAlignment="1"/>
    <xf numFmtId="0" fontId="21" fillId="10" borderId="0" xfId="0" applyFont="1" applyFill="1" applyBorder="1" applyAlignment="1"/>
    <xf numFmtId="0" fontId="17" fillId="8" borderId="0" xfId="0" applyNumberFormat="1" applyFont="1" applyFill="1" applyBorder="1" applyAlignment="1"/>
    <xf numFmtId="0" fontId="18" fillId="0" borderId="15" xfId="0" applyFont="1" applyBorder="1" applyAlignment="1"/>
    <xf numFmtId="0" fontId="18" fillId="8" borderId="16" xfId="0" applyNumberFormat="1" applyFont="1" applyFill="1" applyBorder="1" applyAlignment="1"/>
    <xf numFmtId="0" fontId="22" fillId="8" borderId="16" xfId="0" applyNumberFormat="1" applyFont="1" applyFill="1" applyBorder="1" applyAlignment="1"/>
    <xf numFmtId="0" fontId="22" fillId="8" borderId="6" xfId="0" applyNumberFormat="1" applyFont="1" applyFill="1" applyBorder="1" applyAlignment="1"/>
    <xf numFmtId="0" fontId="22" fillId="8" borderId="0" xfId="0" applyNumberFormat="1" applyFont="1" applyFill="1" applyBorder="1" applyAlignment="1"/>
    <xf numFmtId="0" fontId="22" fillId="8" borderId="18" xfId="0" applyNumberFormat="1" applyFont="1" applyFill="1" applyBorder="1" applyAlignment="1"/>
    <xf numFmtId="0" fontId="23" fillId="10" borderId="0" xfId="0" applyNumberFormat="1" applyFont="1" applyFill="1" applyBorder="1" applyAlignment="1"/>
    <xf numFmtId="0" fontId="21" fillId="10" borderId="18" xfId="0" applyNumberFormat="1" applyFont="1" applyFill="1" applyBorder="1" applyAlignment="1"/>
    <xf numFmtId="0" fontId="21" fillId="10" borderId="0" xfId="0" applyNumberFormat="1" applyFont="1" applyFill="1" applyBorder="1" applyAlignment="1"/>
    <xf numFmtId="0" fontId="19" fillId="10" borderId="17" xfId="0" applyFont="1" applyFill="1" applyBorder="1" applyAlignment="1"/>
    <xf numFmtId="0" fontId="17" fillId="0" borderId="14" xfId="0" applyFont="1" applyBorder="1" applyAlignment="1"/>
    <xf numFmtId="0" fontId="17" fillId="0" borderId="3" xfId="0" pivotButton="1" applyFont="1" applyBorder="1" applyAlignment="1"/>
    <xf numFmtId="0" fontId="17" fillId="0" borderId="9" xfId="0" applyFont="1" applyBorder="1" applyAlignment="1"/>
    <xf numFmtId="0" fontId="17" fillId="0" borderId="20" xfId="0" applyFont="1" applyBorder="1" applyAlignment="1"/>
    <xf numFmtId="0" fontId="17" fillId="0" borderId="7" xfId="0" applyFont="1" applyBorder="1" applyAlignment="1"/>
    <xf numFmtId="0" fontId="18" fillId="0" borderId="0" xfId="0" applyFont="1" applyBorder="1" applyAlignment="1"/>
    <xf numFmtId="0" fontId="17" fillId="0" borderId="3" xfId="0" applyFont="1" applyBorder="1" applyAlignment="1"/>
    <xf numFmtId="0" fontId="17" fillId="0" borderId="4" xfId="0" applyFont="1" applyBorder="1" applyAlignment="1"/>
    <xf numFmtId="0" fontId="17" fillId="0" borderId="15" xfId="0" applyNumberFormat="1" applyFont="1" applyBorder="1" applyAlignment="1"/>
    <xf numFmtId="0" fontId="17" fillId="0" borderId="16" xfId="0" applyNumberFormat="1" applyFont="1" applyBorder="1" applyAlignment="1"/>
    <xf numFmtId="0" fontId="17" fillId="0" borderId="6" xfId="0" applyNumberFormat="1" applyFont="1" applyBorder="1" applyAlignment="1"/>
    <xf numFmtId="0" fontId="17" fillId="0" borderId="10" xfId="0" applyFont="1" applyBorder="1" applyAlignment="1"/>
    <xf numFmtId="0" fontId="17" fillId="0" borderId="17" xfId="0" applyNumberFormat="1" applyFont="1" applyBorder="1" applyAlignment="1"/>
    <xf numFmtId="0" fontId="17" fillId="0" borderId="18" xfId="0" applyNumberFormat="1" applyFont="1" applyBorder="1" applyAlignment="1"/>
    <xf numFmtId="0" fontId="17" fillId="0" borderId="14" xfId="0" applyNumberFormat="1" applyFont="1" applyBorder="1" applyAlignment="1"/>
    <xf numFmtId="0" fontId="17" fillId="0" borderId="19" xfId="0" applyNumberFormat="1" applyFont="1" applyBorder="1" applyAlignment="1"/>
    <xf numFmtId="0" fontId="17" fillId="0" borderId="13" xfId="0" applyNumberFormat="1" applyFont="1" applyBorder="1" applyAlignment="1"/>
    <xf numFmtId="0" fontId="17" fillId="0" borderId="3" xfId="0" applyNumberFormat="1" applyFont="1" applyBorder="1" applyAlignment="1"/>
    <xf numFmtId="0" fontId="17" fillId="0" borderId="10" xfId="0" applyNumberFormat="1" applyFont="1" applyBorder="1" applyAlignment="1"/>
    <xf numFmtId="0" fontId="21" fillId="11" borderId="0" xfId="0" applyFont="1" applyFill="1" applyBorder="1" applyAlignment="1"/>
    <xf numFmtId="0" fontId="23" fillId="10" borderId="0" xfId="0" applyFont="1" applyFill="1" applyBorder="1" applyAlignment="1"/>
    <xf numFmtId="0" fontId="17" fillId="0" borderId="0" xfId="0" pivotButton="1" applyFont="1" applyBorder="1" applyAlignment="1"/>
    <xf numFmtId="0" fontId="17" fillId="0" borderId="4" xfId="0" applyNumberFormat="1" applyFont="1" applyBorder="1" applyAlignment="1"/>
    <xf numFmtId="0" fontId="18" fillId="0" borderId="17" xfId="0" applyFont="1" applyBorder="1" applyAlignment="1"/>
    <xf numFmtId="0" fontId="24" fillId="0" borderId="0" xfId="0" applyFont="1" applyBorder="1" applyAlignment="1"/>
    <xf numFmtId="0" fontId="24" fillId="0" borderId="16" xfId="0" applyFont="1" applyBorder="1" applyAlignment="1"/>
  </cellXfs>
  <cellStyles count="1">
    <cellStyle name="Normal" xfId="0" builtinId="0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maj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ajor"/>
      </font>
      <fill>
        <patternFill patternType="solid">
          <fgColor theme="4" tint="0.79998168889431442"/>
          <bgColor theme="4" tint="0.79998168889431442"/>
        </patternFill>
      </fill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numFmt numFmtId="0" formatCode="General"/>
      <alignment horizontal="general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major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major"/>
      </font>
      <fill>
        <patternFill patternType="solid">
          <fgColor theme="4" tint="0.79998168889431442"/>
          <bgColor theme="4" tint="0.79998168889431442"/>
        </patternFill>
      </fill>
      <alignment horizontal="general" textRotation="0" indent="0" justifyLastLine="0" shrinkToFit="0" readingOrder="0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font>
        <name val="Arial"/>
        <family val="2"/>
        <scheme val="major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"/>
              <c:pt idx="0">
                <c:v>Absent</c:v>
              </c:pt>
              <c:pt idx="1">
                <c:v>Late</c:v>
              </c:pt>
              <c:pt idx="2">
                <c:v>Present</c:v>
              </c:pt>
            </c:strLit>
          </c:cat>
          <c:val>
            <c:numLit>
              <c:formatCode>General</c:formatCode>
              <c:ptCount val="3"/>
              <c:pt idx="0">
                <c:v>96</c:v>
              </c:pt>
              <c:pt idx="1">
                <c:v>50</c:v>
              </c:pt>
              <c:pt idx="2">
                <c:v>302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D5A-40B0-84F7-4C51003CF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211328"/>
        <c:axId val="1430211808"/>
      </c:lineChart>
      <c:catAx>
        <c:axId val="143021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211808"/>
        <c:crosses val="autoZero"/>
        <c:auto val="1"/>
        <c:lblAlgn val="ctr"/>
        <c:lblOffset val="100"/>
        <c:noMultiLvlLbl val="0"/>
      </c:catAx>
      <c:valAx>
        <c:axId val="143021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21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Offline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Algebra Basics</c:v>
              </c:pt>
              <c:pt idx="1">
                <c:v>Communication</c:v>
              </c:pt>
              <c:pt idx="2">
                <c:v>CS Fundamentals</c:v>
              </c:pt>
              <c:pt idx="3">
                <c:v>Foundations of ML</c:v>
              </c:pt>
            </c:strLit>
          </c:cat>
          <c:val>
            <c:numLit>
              <c:formatCode>General</c:formatCode>
              <c:ptCount val="4"/>
              <c:pt idx="0">
                <c:v>63</c:v>
              </c:pt>
              <c:pt idx="1">
                <c:v>70</c:v>
              </c:pt>
              <c:pt idx="2">
                <c:v>38</c:v>
              </c:pt>
              <c:pt idx="3">
                <c:v>68</c:v>
              </c:pt>
            </c:numLit>
          </c:val>
          <c:extLst>
            <c:ext xmlns:c16="http://schemas.microsoft.com/office/drawing/2014/chart" uri="{C3380CC4-5D6E-409C-BE32-E72D297353CC}">
              <c16:uniqueId val="{00000000-2A83-480A-8AC5-26C21A650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737536"/>
        <c:axId val="1505736096"/>
      </c:barChart>
      <c:lineChart>
        <c:grouping val="standard"/>
        <c:varyColors val="0"/>
        <c:ser>
          <c:idx val="1"/>
          <c:order val="1"/>
          <c:tx>
            <c:v>Online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Algebra Basics</c:v>
              </c:pt>
              <c:pt idx="1">
                <c:v>Communication</c:v>
              </c:pt>
              <c:pt idx="2">
                <c:v>CS Fundamentals</c:v>
              </c:pt>
              <c:pt idx="3">
                <c:v>Foundations of ML</c:v>
              </c:pt>
            </c:strLit>
          </c:cat>
          <c:val>
            <c:numLit>
              <c:formatCode>General</c:formatCode>
              <c:ptCount val="4"/>
              <c:pt idx="0">
                <c:v>49</c:v>
              </c:pt>
              <c:pt idx="1">
                <c:v>26</c:v>
              </c:pt>
              <c:pt idx="2">
                <c:v>74</c:v>
              </c:pt>
              <c:pt idx="3">
                <c:v>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A83-480A-8AC5-26C21A650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737536"/>
        <c:axId val="1505736096"/>
      </c:lineChart>
      <c:catAx>
        <c:axId val="150573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36096"/>
        <c:crosses val="autoZero"/>
        <c:auto val="1"/>
        <c:lblAlgn val="ctr"/>
        <c:lblOffset val="100"/>
        <c:noMultiLvlLbl val="0"/>
      </c:catAx>
      <c:valAx>
        <c:axId val="150573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73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419878</xdr:colOff>
      <xdr:row>35</xdr:row>
      <xdr:rowOff>108856</xdr:rowOff>
    </xdr:from>
    <xdr:to>
      <xdr:col>17</xdr:col>
      <xdr:colOff>1415143</xdr:colOff>
      <xdr:row>96</xdr:row>
      <xdr:rowOff>155510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EBF80F-C2CB-4C36-8227-DF868E0DA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544285</xdr:colOff>
      <xdr:row>7</xdr:row>
      <xdr:rowOff>62205</xdr:rowOff>
    </xdr:from>
    <xdr:to>
      <xdr:col>17</xdr:col>
      <xdr:colOff>1508449</xdr:colOff>
      <xdr:row>24</xdr:row>
      <xdr:rowOff>93306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3762E7-B99A-4F64-8AC2-215D432BF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harth Rajan" refreshedDate="46010.632617129631" createdVersion="8" refreshedVersion="8" minRefreshableVersion="3" recordCount="448" xr:uid="{74B87D3C-5357-4F9A-9C3B-11AC555C5B25}">
  <cacheSource type="worksheet">
    <worksheetSource ref="A2:L450" sheet="Mastersheet"/>
  </cacheSource>
  <cacheFields count="12">
    <cacheField name="Learner + Session ID" numFmtId="0">
      <sharedItems/>
    </cacheField>
    <cacheField name="Learner ID" numFmtId="0">
      <sharedItems count="50">
        <s v="L001"/>
        <s v="L002"/>
        <s v="L003"/>
        <s v="L004"/>
        <s v="L005"/>
        <s v="L006"/>
        <s v="L007"/>
        <s v="L008"/>
        <s v="L009"/>
        <s v="L010"/>
        <s v="L011"/>
        <s v="L012"/>
        <s v="L013"/>
        <s v="L014"/>
        <s v="L015"/>
        <s v="L016"/>
        <s v="L017"/>
        <s v="L018"/>
        <s v="L019"/>
        <s v="L020"/>
        <s v="L021"/>
        <s v="L022"/>
        <s v="L023"/>
        <s v="L024"/>
        <s v="L025"/>
        <s v="L026"/>
        <s v="L027"/>
        <s v="L028"/>
        <s v="L029"/>
        <s v="L030"/>
        <s v="L031"/>
        <s v="L032"/>
        <s v="L033"/>
        <s v="L034"/>
        <s v="L035"/>
        <s v="L036"/>
        <s v="L037"/>
        <s v="L038"/>
        <s v="L039"/>
        <s v="L040"/>
        <s v="L041"/>
        <s v="L042"/>
        <s v="L043"/>
        <s v="L044"/>
        <s v="L045"/>
        <s v="L046"/>
        <s v="L047"/>
        <s v="L048"/>
        <s v="L049"/>
        <s v="L050"/>
      </sharedItems>
    </cacheField>
    <cacheField name="Session ID" numFmtId="0">
      <sharedItems count="20">
        <s v="S018"/>
        <s v="S016"/>
        <s v="S017"/>
        <s v="S020"/>
        <s v="S002"/>
        <s v="S008"/>
        <s v="S012"/>
        <s v="S010"/>
        <s v="S007"/>
        <s v="S005"/>
        <s v="S019"/>
        <s v="S011"/>
        <s v="S006"/>
        <s v="S015"/>
        <s v="S001"/>
        <s v="S013"/>
        <s v="S009"/>
        <s v="S014"/>
        <s v="S004"/>
        <s v="S003"/>
      </sharedItems>
    </cacheField>
    <cacheField name="Attendance Status" numFmtId="0">
      <sharedItems count="3">
        <s v="Present"/>
        <s v="Absent"/>
        <s v="Late"/>
      </sharedItems>
    </cacheField>
    <cacheField name="Subject" numFmtId="0">
      <sharedItems count="4">
        <s v="CS Fundamentals"/>
        <s v="Algebra Basics"/>
        <s v="Communication"/>
        <s v="Foundations of ML"/>
      </sharedItems>
    </cacheField>
    <cacheField name="Instructor ID" numFmtId="0">
      <sharedItems count="7">
        <s v="IN_5"/>
        <s v="IN_2"/>
        <s v="IN_7"/>
        <s v="IN_4"/>
        <s v="IN_3"/>
        <s v="IN_1"/>
        <s v="IN_6"/>
      </sharedItems>
    </cacheField>
    <cacheField name="Session Type" numFmtId="0">
      <sharedItems count="3">
        <s v="Practical"/>
        <s v="Workshop"/>
        <s v="Theory Session"/>
      </sharedItems>
    </cacheField>
    <cacheField name="Mode" numFmtId="0">
      <sharedItems count="2">
        <s v="Online"/>
        <s v="Offline"/>
      </sharedItems>
    </cacheField>
    <cacheField name="Raw Quiz Marks" numFmtId="0">
      <sharedItems containsSemiMixedTypes="0" containsString="0" containsNumber="1" containsInteger="1" minValue="0" maxValue="20"/>
    </cacheField>
    <cacheField name="Updated Quiz Marks" numFmtId="0">
      <sharedItems containsSemiMixedTypes="0" containsString="0" containsNumber="1" containsInteger="1" minValue="-1" maxValue="20" count="22">
        <n v="0"/>
        <n v="11"/>
        <n v="10"/>
        <n v="20"/>
        <n v="17"/>
        <n v="13"/>
        <n v="7"/>
        <n v="12"/>
        <n v="15"/>
        <n v="4"/>
        <n v="16"/>
        <n v="6"/>
        <n v="14"/>
        <n v="8"/>
        <n v="5"/>
        <n v="18"/>
        <n v="1"/>
        <n v="9"/>
        <n v="-1"/>
        <n v="19"/>
        <n v="3"/>
        <n v="2"/>
      </sharedItems>
    </cacheField>
    <cacheField name="quiz mark /20" numFmtId="0">
      <sharedItems containsSemiMixedTypes="0" containsString="0" containsNumber="1" minValue="-0.05" maxValue="1"/>
    </cacheField>
    <cacheField name="quiz mark weight" numFmtId="0">
      <sharedItems containsSemiMixedTypes="0" containsString="0" containsNumber="1" minValue="-2.0000000000000004E-2" maxValue="0.4"/>
    </cacheField>
  </cacheFields>
  <extLst>
    <ext xmlns:x14="http://schemas.microsoft.com/office/spreadsheetml/2009/9/main" uri="{725AE2AE-9491-48be-B2B4-4EB974FC3084}">
      <x14:pivotCacheDefinition pivotCacheId="16386805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">
  <r>
    <s v="L001S018"/>
    <x v="0"/>
    <x v="0"/>
    <x v="0"/>
    <x v="0"/>
    <x v="0"/>
    <x v="0"/>
    <x v="0"/>
    <n v="0"/>
    <x v="0"/>
    <n v="0"/>
    <n v="0"/>
  </r>
  <r>
    <s v="L001S016"/>
    <x v="0"/>
    <x v="1"/>
    <x v="0"/>
    <x v="1"/>
    <x v="1"/>
    <x v="1"/>
    <x v="1"/>
    <n v="0"/>
    <x v="0"/>
    <n v="0"/>
    <n v="0"/>
  </r>
  <r>
    <s v="L001S017"/>
    <x v="0"/>
    <x v="2"/>
    <x v="1"/>
    <x v="2"/>
    <x v="2"/>
    <x v="0"/>
    <x v="1"/>
    <n v="0"/>
    <x v="0"/>
    <n v="0"/>
    <n v="0"/>
  </r>
  <r>
    <s v="L001S020"/>
    <x v="0"/>
    <x v="3"/>
    <x v="0"/>
    <x v="3"/>
    <x v="3"/>
    <x v="1"/>
    <x v="0"/>
    <n v="0"/>
    <x v="0"/>
    <n v="0"/>
    <n v="0"/>
  </r>
  <r>
    <s v="L001S002"/>
    <x v="0"/>
    <x v="4"/>
    <x v="1"/>
    <x v="0"/>
    <x v="4"/>
    <x v="0"/>
    <x v="1"/>
    <n v="0"/>
    <x v="0"/>
    <n v="0"/>
    <n v="0"/>
  </r>
  <r>
    <s v="L001S008"/>
    <x v="0"/>
    <x v="5"/>
    <x v="0"/>
    <x v="0"/>
    <x v="1"/>
    <x v="0"/>
    <x v="0"/>
    <n v="0"/>
    <x v="0"/>
    <n v="0"/>
    <n v="0"/>
  </r>
  <r>
    <s v="L001S012"/>
    <x v="0"/>
    <x v="6"/>
    <x v="0"/>
    <x v="3"/>
    <x v="5"/>
    <x v="1"/>
    <x v="1"/>
    <n v="11"/>
    <x v="1"/>
    <n v="0.55000000000000004"/>
    <n v="0.11000000000000001"/>
  </r>
  <r>
    <s v="L001S010"/>
    <x v="0"/>
    <x v="7"/>
    <x v="0"/>
    <x v="3"/>
    <x v="6"/>
    <x v="2"/>
    <x v="1"/>
    <n v="0"/>
    <x v="0"/>
    <n v="0"/>
    <n v="0"/>
  </r>
  <r>
    <s v="L001S007"/>
    <x v="0"/>
    <x v="8"/>
    <x v="0"/>
    <x v="2"/>
    <x v="5"/>
    <x v="0"/>
    <x v="1"/>
    <n v="0"/>
    <x v="0"/>
    <n v="0"/>
    <n v="0"/>
  </r>
  <r>
    <s v="L001S005"/>
    <x v="0"/>
    <x v="9"/>
    <x v="2"/>
    <x v="1"/>
    <x v="3"/>
    <x v="1"/>
    <x v="0"/>
    <n v="10"/>
    <x v="2"/>
    <n v="0.5"/>
    <n v="0.1"/>
  </r>
  <r>
    <s v="L001S019"/>
    <x v="0"/>
    <x v="10"/>
    <x v="0"/>
    <x v="0"/>
    <x v="6"/>
    <x v="1"/>
    <x v="1"/>
    <n v="0"/>
    <x v="0"/>
    <n v="0"/>
    <n v="0"/>
  </r>
  <r>
    <s v="L001S011"/>
    <x v="0"/>
    <x v="11"/>
    <x v="1"/>
    <x v="1"/>
    <x v="3"/>
    <x v="2"/>
    <x v="0"/>
    <n v="0"/>
    <x v="0"/>
    <n v="0"/>
    <n v="0"/>
  </r>
  <r>
    <s v="L001S006"/>
    <x v="0"/>
    <x v="12"/>
    <x v="0"/>
    <x v="2"/>
    <x v="6"/>
    <x v="2"/>
    <x v="0"/>
    <n v="20"/>
    <x v="3"/>
    <n v="1"/>
    <n v="0.4"/>
  </r>
  <r>
    <s v="L001S015"/>
    <x v="0"/>
    <x v="13"/>
    <x v="1"/>
    <x v="3"/>
    <x v="3"/>
    <x v="0"/>
    <x v="1"/>
    <n v="0"/>
    <x v="0"/>
    <n v="0"/>
    <n v="0"/>
  </r>
  <r>
    <s v="L002S001"/>
    <x v="1"/>
    <x v="14"/>
    <x v="0"/>
    <x v="0"/>
    <x v="1"/>
    <x v="2"/>
    <x v="0"/>
    <n v="0"/>
    <x v="0"/>
    <n v="0"/>
    <n v="0"/>
  </r>
  <r>
    <s v="L002S013"/>
    <x v="1"/>
    <x v="15"/>
    <x v="0"/>
    <x v="1"/>
    <x v="4"/>
    <x v="1"/>
    <x v="1"/>
    <n v="0"/>
    <x v="0"/>
    <n v="0"/>
    <n v="0"/>
  </r>
  <r>
    <s v="L002S010"/>
    <x v="1"/>
    <x v="7"/>
    <x v="0"/>
    <x v="3"/>
    <x v="6"/>
    <x v="2"/>
    <x v="1"/>
    <n v="17"/>
    <x v="4"/>
    <n v="0.85"/>
    <n v="0.34"/>
  </r>
  <r>
    <s v="L002S012"/>
    <x v="1"/>
    <x v="6"/>
    <x v="1"/>
    <x v="3"/>
    <x v="5"/>
    <x v="1"/>
    <x v="1"/>
    <n v="16"/>
    <x v="1"/>
    <n v="0.55000000000000004"/>
    <n v="0.11000000000000001"/>
  </r>
  <r>
    <s v="L002S005"/>
    <x v="1"/>
    <x v="9"/>
    <x v="0"/>
    <x v="1"/>
    <x v="3"/>
    <x v="1"/>
    <x v="0"/>
    <n v="0"/>
    <x v="0"/>
    <n v="0"/>
    <n v="0"/>
  </r>
  <r>
    <s v="L002S017"/>
    <x v="1"/>
    <x v="2"/>
    <x v="0"/>
    <x v="2"/>
    <x v="2"/>
    <x v="0"/>
    <x v="1"/>
    <n v="10"/>
    <x v="2"/>
    <n v="0.5"/>
    <n v="0.2"/>
  </r>
  <r>
    <s v="L002S015"/>
    <x v="1"/>
    <x v="13"/>
    <x v="1"/>
    <x v="3"/>
    <x v="3"/>
    <x v="0"/>
    <x v="1"/>
    <n v="0"/>
    <x v="0"/>
    <n v="0"/>
    <n v="0"/>
  </r>
  <r>
    <s v="L002S009"/>
    <x v="1"/>
    <x v="16"/>
    <x v="0"/>
    <x v="2"/>
    <x v="6"/>
    <x v="1"/>
    <x v="1"/>
    <n v="13"/>
    <x v="5"/>
    <n v="0.65"/>
    <n v="0.13"/>
  </r>
  <r>
    <s v="L002S007"/>
    <x v="1"/>
    <x v="8"/>
    <x v="0"/>
    <x v="2"/>
    <x v="5"/>
    <x v="0"/>
    <x v="1"/>
    <n v="7"/>
    <x v="6"/>
    <n v="0.35"/>
    <n v="0.13999999999999999"/>
  </r>
  <r>
    <s v="L002S014"/>
    <x v="1"/>
    <x v="17"/>
    <x v="1"/>
    <x v="3"/>
    <x v="1"/>
    <x v="2"/>
    <x v="0"/>
    <n v="0"/>
    <x v="0"/>
    <n v="0"/>
    <n v="0"/>
  </r>
  <r>
    <s v="L002S004"/>
    <x v="1"/>
    <x v="18"/>
    <x v="0"/>
    <x v="3"/>
    <x v="3"/>
    <x v="1"/>
    <x v="0"/>
    <n v="0"/>
    <x v="0"/>
    <n v="0"/>
    <n v="0"/>
  </r>
  <r>
    <s v="L002S002"/>
    <x v="1"/>
    <x v="4"/>
    <x v="0"/>
    <x v="0"/>
    <x v="4"/>
    <x v="0"/>
    <x v="1"/>
    <n v="7"/>
    <x v="6"/>
    <n v="0.35"/>
    <n v="0.13999999999999999"/>
  </r>
  <r>
    <s v="L003S006"/>
    <x v="2"/>
    <x v="12"/>
    <x v="0"/>
    <x v="2"/>
    <x v="6"/>
    <x v="2"/>
    <x v="0"/>
    <n v="0"/>
    <x v="0"/>
    <n v="0"/>
    <n v="0"/>
  </r>
  <r>
    <s v="L003S018"/>
    <x v="2"/>
    <x v="0"/>
    <x v="0"/>
    <x v="0"/>
    <x v="0"/>
    <x v="0"/>
    <x v="0"/>
    <n v="0"/>
    <x v="0"/>
    <n v="0"/>
    <n v="0"/>
  </r>
  <r>
    <s v="L003S015"/>
    <x v="2"/>
    <x v="13"/>
    <x v="0"/>
    <x v="3"/>
    <x v="3"/>
    <x v="0"/>
    <x v="1"/>
    <n v="12"/>
    <x v="7"/>
    <n v="0.6"/>
    <n v="0.24"/>
  </r>
  <r>
    <s v="L003S019"/>
    <x v="2"/>
    <x v="10"/>
    <x v="1"/>
    <x v="0"/>
    <x v="6"/>
    <x v="1"/>
    <x v="1"/>
    <n v="0"/>
    <x v="0"/>
    <n v="0"/>
    <n v="0"/>
  </r>
  <r>
    <s v="L003S009"/>
    <x v="2"/>
    <x v="16"/>
    <x v="1"/>
    <x v="2"/>
    <x v="6"/>
    <x v="1"/>
    <x v="1"/>
    <n v="5"/>
    <x v="0"/>
    <n v="0"/>
    <n v="0"/>
  </r>
  <r>
    <s v="L003S020"/>
    <x v="2"/>
    <x v="3"/>
    <x v="1"/>
    <x v="3"/>
    <x v="3"/>
    <x v="1"/>
    <x v="0"/>
    <n v="0"/>
    <x v="0"/>
    <n v="0"/>
    <n v="0"/>
  </r>
  <r>
    <s v="L003S008"/>
    <x v="2"/>
    <x v="5"/>
    <x v="0"/>
    <x v="0"/>
    <x v="1"/>
    <x v="0"/>
    <x v="0"/>
    <n v="0"/>
    <x v="0"/>
    <n v="0"/>
    <n v="0"/>
  </r>
  <r>
    <s v="L003S007"/>
    <x v="2"/>
    <x v="8"/>
    <x v="0"/>
    <x v="2"/>
    <x v="5"/>
    <x v="0"/>
    <x v="1"/>
    <n v="17"/>
    <x v="4"/>
    <n v="0.85"/>
    <n v="0.34"/>
  </r>
  <r>
    <s v="L003S011"/>
    <x v="2"/>
    <x v="11"/>
    <x v="0"/>
    <x v="1"/>
    <x v="3"/>
    <x v="2"/>
    <x v="0"/>
    <n v="15"/>
    <x v="8"/>
    <n v="0.75"/>
    <n v="0.30000000000000004"/>
  </r>
  <r>
    <s v="L004S013"/>
    <x v="3"/>
    <x v="15"/>
    <x v="0"/>
    <x v="1"/>
    <x v="4"/>
    <x v="1"/>
    <x v="1"/>
    <n v="11"/>
    <x v="1"/>
    <n v="0.55000000000000004"/>
    <n v="0.11000000000000001"/>
  </r>
  <r>
    <s v="L004S018"/>
    <x v="3"/>
    <x v="0"/>
    <x v="0"/>
    <x v="0"/>
    <x v="0"/>
    <x v="0"/>
    <x v="0"/>
    <n v="0"/>
    <x v="0"/>
    <n v="0"/>
    <n v="0"/>
  </r>
  <r>
    <s v="L004S016"/>
    <x v="3"/>
    <x v="1"/>
    <x v="0"/>
    <x v="1"/>
    <x v="1"/>
    <x v="1"/>
    <x v="1"/>
    <n v="0"/>
    <x v="0"/>
    <n v="0"/>
    <n v="0"/>
  </r>
  <r>
    <s v="L004S003"/>
    <x v="3"/>
    <x v="19"/>
    <x v="2"/>
    <x v="1"/>
    <x v="2"/>
    <x v="1"/>
    <x v="1"/>
    <n v="0"/>
    <x v="0"/>
    <n v="0"/>
    <n v="0"/>
  </r>
  <r>
    <s v="L004S009"/>
    <x v="3"/>
    <x v="16"/>
    <x v="0"/>
    <x v="2"/>
    <x v="6"/>
    <x v="1"/>
    <x v="1"/>
    <n v="0"/>
    <x v="0"/>
    <n v="0"/>
    <n v="0"/>
  </r>
  <r>
    <s v="L004S012"/>
    <x v="3"/>
    <x v="6"/>
    <x v="1"/>
    <x v="3"/>
    <x v="5"/>
    <x v="1"/>
    <x v="1"/>
    <n v="0"/>
    <x v="0"/>
    <n v="0"/>
    <n v="0"/>
  </r>
  <r>
    <s v="L004S005"/>
    <x v="3"/>
    <x v="9"/>
    <x v="1"/>
    <x v="1"/>
    <x v="3"/>
    <x v="1"/>
    <x v="0"/>
    <n v="16"/>
    <x v="1"/>
    <n v="0.55000000000000004"/>
    <n v="0.11000000000000001"/>
  </r>
  <r>
    <s v="L005S009"/>
    <x v="4"/>
    <x v="16"/>
    <x v="2"/>
    <x v="2"/>
    <x v="6"/>
    <x v="1"/>
    <x v="1"/>
    <n v="0"/>
    <x v="0"/>
    <n v="0"/>
    <n v="0"/>
  </r>
  <r>
    <s v="L005S013"/>
    <x v="4"/>
    <x v="15"/>
    <x v="1"/>
    <x v="1"/>
    <x v="4"/>
    <x v="1"/>
    <x v="1"/>
    <n v="9"/>
    <x v="9"/>
    <n v="0.2"/>
    <n v="4.0000000000000008E-2"/>
  </r>
  <r>
    <s v="L005S016"/>
    <x v="4"/>
    <x v="1"/>
    <x v="0"/>
    <x v="1"/>
    <x v="1"/>
    <x v="1"/>
    <x v="1"/>
    <n v="0"/>
    <x v="0"/>
    <n v="0"/>
    <n v="0"/>
  </r>
  <r>
    <s v="L005S019"/>
    <x v="4"/>
    <x v="10"/>
    <x v="0"/>
    <x v="0"/>
    <x v="6"/>
    <x v="1"/>
    <x v="1"/>
    <n v="16"/>
    <x v="10"/>
    <n v="0.8"/>
    <n v="0.16000000000000003"/>
  </r>
  <r>
    <s v="L005S020"/>
    <x v="4"/>
    <x v="3"/>
    <x v="0"/>
    <x v="3"/>
    <x v="3"/>
    <x v="1"/>
    <x v="0"/>
    <n v="0"/>
    <x v="0"/>
    <n v="0"/>
    <n v="0"/>
  </r>
  <r>
    <s v="L005S003"/>
    <x v="4"/>
    <x v="19"/>
    <x v="0"/>
    <x v="1"/>
    <x v="2"/>
    <x v="1"/>
    <x v="1"/>
    <n v="10"/>
    <x v="2"/>
    <n v="0.5"/>
    <n v="0.1"/>
  </r>
  <r>
    <s v="L005S015"/>
    <x v="4"/>
    <x v="13"/>
    <x v="0"/>
    <x v="3"/>
    <x v="3"/>
    <x v="0"/>
    <x v="1"/>
    <n v="0"/>
    <x v="0"/>
    <n v="0"/>
    <n v="0"/>
  </r>
  <r>
    <s v="L005S008"/>
    <x v="4"/>
    <x v="5"/>
    <x v="0"/>
    <x v="0"/>
    <x v="1"/>
    <x v="0"/>
    <x v="0"/>
    <n v="10"/>
    <x v="2"/>
    <n v="0.5"/>
    <n v="0.2"/>
  </r>
  <r>
    <s v="L005S007"/>
    <x v="4"/>
    <x v="8"/>
    <x v="0"/>
    <x v="2"/>
    <x v="5"/>
    <x v="0"/>
    <x v="1"/>
    <n v="17"/>
    <x v="4"/>
    <n v="0.85"/>
    <n v="0.34"/>
  </r>
  <r>
    <s v="L005S011"/>
    <x v="4"/>
    <x v="11"/>
    <x v="0"/>
    <x v="1"/>
    <x v="3"/>
    <x v="2"/>
    <x v="0"/>
    <n v="4"/>
    <x v="9"/>
    <n v="0.2"/>
    <n v="8.0000000000000016E-2"/>
  </r>
  <r>
    <s v="L006S004"/>
    <x v="5"/>
    <x v="18"/>
    <x v="1"/>
    <x v="3"/>
    <x v="3"/>
    <x v="1"/>
    <x v="0"/>
    <n v="11"/>
    <x v="11"/>
    <n v="0.3"/>
    <n v="0.06"/>
  </r>
  <r>
    <s v="L006S003"/>
    <x v="5"/>
    <x v="19"/>
    <x v="0"/>
    <x v="1"/>
    <x v="2"/>
    <x v="1"/>
    <x v="1"/>
    <n v="11"/>
    <x v="1"/>
    <n v="0.55000000000000004"/>
    <n v="0.11000000000000001"/>
  </r>
  <r>
    <s v="L006S017"/>
    <x v="5"/>
    <x v="2"/>
    <x v="0"/>
    <x v="2"/>
    <x v="2"/>
    <x v="0"/>
    <x v="1"/>
    <n v="14"/>
    <x v="12"/>
    <n v="0.7"/>
    <n v="0.27999999999999997"/>
  </r>
  <r>
    <s v="L006S010"/>
    <x v="5"/>
    <x v="7"/>
    <x v="1"/>
    <x v="3"/>
    <x v="6"/>
    <x v="2"/>
    <x v="1"/>
    <n v="16"/>
    <x v="1"/>
    <n v="0.55000000000000004"/>
    <n v="0.22000000000000003"/>
  </r>
  <r>
    <s v="L006S018"/>
    <x v="5"/>
    <x v="0"/>
    <x v="0"/>
    <x v="0"/>
    <x v="0"/>
    <x v="0"/>
    <x v="0"/>
    <n v="0"/>
    <x v="0"/>
    <n v="0"/>
    <n v="0"/>
  </r>
  <r>
    <s v="L006S001"/>
    <x v="5"/>
    <x v="14"/>
    <x v="0"/>
    <x v="0"/>
    <x v="1"/>
    <x v="2"/>
    <x v="0"/>
    <n v="8"/>
    <x v="13"/>
    <n v="0.4"/>
    <n v="0.16000000000000003"/>
  </r>
  <r>
    <s v="L007S005"/>
    <x v="6"/>
    <x v="9"/>
    <x v="1"/>
    <x v="1"/>
    <x v="3"/>
    <x v="1"/>
    <x v="0"/>
    <n v="17"/>
    <x v="7"/>
    <n v="0.6"/>
    <n v="0.12"/>
  </r>
  <r>
    <s v="L007S014"/>
    <x v="6"/>
    <x v="17"/>
    <x v="0"/>
    <x v="3"/>
    <x v="1"/>
    <x v="2"/>
    <x v="0"/>
    <n v="4"/>
    <x v="9"/>
    <n v="0.2"/>
    <n v="8.0000000000000016E-2"/>
  </r>
  <r>
    <s v="L007S016"/>
    <x v="6"/>
    <x v="1"/>
    <x v="0"/>
    <x v="1"/>
    <x v="1"/>
    <x v="1"/>
    <x v="1"/>
    <n v="0"/>
    <x v="0"/>
    <n v="0"/>
    <n v="0"/>
  </r>
  <r>
    <s v="L007S017"/>
    <x v="6"/>
    <x v="2"/>
    <x v="0"/>
    <x v="2"/>
    <x v="2"/>
    <x v="0"/>
    <x v="1"/>
    <n v="0"/>
    <x v="0"/>
    <n v="0"/>
    <n v="0"/>
  </r>
  <r>
    <s v="L007S015"/>
    <x v="6"/>
    <x v="13"/>
    <x v="0"/>
    <x v="3"/>
    <x v="3"/>
    <x v="0"/>
    <x v="1"/>
    <n v="0"/>
    <x v="0"/>
    <n v="0"/>
    <n v="0"/>
  </r>
  <r>
    <s v="L007S001"/>
    <x v="6"/>
    <x v="14"/>
    <x v="2"/>
    <x v="0"/>
    <x v="1"/>
    <x v="2"/>
    <x v="0"/>
    <n v="0"/>
    <x v="0"/>
    <n v="0"/>
    <n v="0"/>
  </r>
  <r>
    <s v="L007S006"/>
    <x v="6"/>
    <x v="12"/>
    <x v="1"/>
    <x v="2"/>
    <x v="6"/>
    <x v="2"/>
    <x v="0"/>
    <n v="0"/>
    <x v="0"/>
    <n v="0"/>
    <n v="0"/>
  </r>
  <r>
    <s v="L007S012"/>
    <x v="6"/>
    <x v="6"/>
    <x v="0"/>
    <x v="3"/>
    <x v="5"/>
    <x v="1"/>
    <x v="1"/>
    <n v="0"/>
    <x v="0"/>
    <n v="0"/>
    <n v="0"/>
  </r>
  <r>
    <s v="L007S002"/>
    <x v="6"/>
    <x v="4"/>
    <x v="0"/>
    <x v="0"/>
    <x v="4"/>
    <x v="0"/>
    <x v="1"/>
    <n v="0"/>
    <x v="0"/>
    <n v="0"/>
    <n v="0"/>
  </r>
  <r>
    <s v="L007S011"/>
    <x v="6"/>
    <x v="11"/>
    <x v="2"/>
    <x v="1"/>
    <x v="3"/>
    <x v="2"/>
    <x v="0"/>
    <n v="12"/>
    <x v="7"/>
    <n v="0.6"/>
    <n v="0.24"/>
  </r>
  <r>
    <s v="L007S019"/>
    <x v="6"/>
    <x v="10"/>
    <x v="0"/>
    <x v="0"/>
    <x v="6"/>
    <x v="1"/>
    <x v="1"/>
    <n v="6"/>
    <x v="11"/>
    <n v="0.3"/>
    <n v="0.06"/>
  </r>
  <r>
    <s v="L007S003"/>
    <x v="6"/>
    <x v="19"/>
    <x v="2"/>
    <x v="1"/>
    <x v="2"/>
    <x v="1"/>
    <x v="1"/>
    <n v="14"/>
    <x v="12"/>
    <n v="0.7"/>
    <n v="0.13999999999999999"/>
  </r>
  <r>
    <s v="L007S009"/>
    <x v="6"/>
    <x v="16"/>
    <x v="0"/>
    <x v="2"/>
    <x v="6"/>
    <x v="1"/>
    <x v="1"/>
    <n v="5"/>
    <x v="14"/>
    <n v="0.25"/>
    <n v="0.05"/>
  </r>
  <r>
    <s v="L007S007"/>
    <x v="6"/>
    <x v="8"/>
    <x v="0"/>
    <x v="2"/>
    <x v="5"/>
    <x v="0"/>
    <x v="1"/>
    <n v="0"/>
    <x v="0"/>
    <n v="0"/>
    <n v="0"/>
  </r>
  <r>
    <s v="L008S019"/>
    <x v="7"/>
    <x v="10"/>
    <x v="0"/>
    <x v="0"/>
    <x v="6"/>
    <x v="1"/>
    <x v="1"/>
    <n v="0"/>
    <x v="0"/>
    <n v="0"/>
    <n v="0"/>
  </r>
  <r>
    <s v="L008S012"/>
    <x v="7"/>
    <x v="6"/>
    <x v="0"/>
    <x v="3"/>
    <x v="5"/>
    <x v="1"/>
    <x v="1"/>
    <n v="0"/>
    <x v="0"/>
    <n v="0"/>
    <n v="0"/>
  </r>
  <r>
    <s v="L008S004"/>
    <x v="7"/>
    <x v="18"/>
    <x v="0"/>
    <x v="3"/>
    <x v="3"/>
    <x v="1"/>
    <x v="0"/>
    <n v="16"/>
    <x v="10"/>
    <n v="0.8"/>
    <n v="0.16000000000000003"/>
  </r>
  <r>
    <s v="L008S009"/>
    <x v="7"/>
    <x v="16"/>
    <x v="0"/>
    <x v="2"/>
    <x v="6"/>
    <x v="1"/>
    <x v="1"/>
    <n v="0"/>
    <x v="0"/>
    <n v="0"/>
    <n v="0"/>
  </r>
  <r>
    <s v="L008S018"/>
    <x v="7"/>
    <x v="0"/>
    <x v="0"/>
    <x v="0"/>
    <x v="0"/>
    <x v="0"/>
    <x v="0"/>
    <n v="5"/>
    <x v="14"/>
    <n v="0.25"/>
    <n v="0.1"/>
  </r>
  <r>
    <s v="L009S018"/>
    <x v="8"/>
    <x v="0"/>
    <x v="0"/>
    <x v="0"/>
    <x v="0"/>
    <x v="0"/>
    <x v="0"/>
    <n v="5"/>
    <x v="14"/>
    <n v="0.25"/>
    <n v="0.1"/>
  </r>
  <r>
    <s v="L009S001"/>
    <x v="8"/>
    <x v="14"/>
    <x v="0"/>
    <x v="0"/>
    <x v="1"/>
    <x v="2"/>
    <x v="0"/>
    <n v="0"/>
    <x v="0"/>
    <n v="0"/>
    <n v="0"/>
  </r>
  <r>
    <s v="L009S014"/>
    <x v="8"/>
    <x v="17"/>
    <x v="0"/>
    <x v="3"/>
    <x v="1"/>
    <x v="2"/>
    <x v="0"/>
    <n v="0"/>
    <x v="0"/>
    <n v="0"/>
    <n v="0"/>
  </r>
  <r>
    <s v="L009S005"/>
    <x v="8"/>
    <x v="9"/>
    <x v="0"/>
    <x v="1"/>
    <x v="3"/>
    <x v="1"/>
    <x v="0"/>
    <n v="0"/>
    <x v="0"/>
    <n v="0"/>
    <n v="0"/>
  </r>
  <r>
    <s v="L009S006"/>
    <x v="8"/>
    <x v="12"/>
    <x v="0"/>
    <x v="2"/>
    <x v="6"/>
    <x v="2"/>
    <x v="0"/>
    <n v="14"/>
    <x v="12"/>
    <n v="0.7"/>
    <n v="0.27999999999999997"/>
  </r>
  <r>
    <s v="L009S012"/>
    <x v="8"/>
    <x v="6"/>
    <x v="2"/>
    <x v="3"/>
    <x v="5"/>
    <x v="1"/>
    <x v="1"/>
    <n v="15"/>
    <x v="8"/>
    <n v="0.75"/>
    <n v="0.15000000000000002"/>
  </r>
  <r>
    <s v="L009S016"/>
    <x v="8"/>
    <x v="1"/>
    <x v="0"/>
    <x v="1"/>
    <x v="1"/>
    <x v="1"/>
    <x v="1"/>
    <n v="0"/>
    <x v="0"/>
    <n v="0"/>
    <n v="0"/>
  </r>
  <r>
    <s v="L009S015"/>
    <x v="8"/>
    <x v="13"/>
    <x v="0"/>
    <x v="3"/>
    <x v="3"/>
    <x v="0"/>
    <x v="1"/>
    <n v="18"/>
    <x v="15"/>
    <n v="0.9"/>
    <n v="0.36000000000000004"/>
  </r>
  <r>
    <s v="L009S017"/>
    <x v="8"/>
    <x v="2"/>
    <x v="0"/>
    <x v="2"/>
    <x v="2"/>
    <x v="0"/>
    <x v="1"/>
    <n v="15"/>
    <x v="8"/>
    <n v="0.75"/>
    <n v="0.30000000000000004"/>
  </r>
  <r>
    <s v="L010S007"/>
    <x v="9"/>
    <x v="8"/>
    <x v="0"/>
    <x v="2"/>
    <x v="5"/>
    <x v="0"/>
    <x v="1"/>
    <n v="20"/>
    <x v="3"/>
    <n v="1"/>
    <n v="0.4"/>
  </r>
  <r>
    <s v="L010S010"/>
    <x v="9"/>
    <x v="7"/>
    <x v="0"/>
    <x v="3"/>
    <x v="6"/>
    <x v="2"/>
    <x v="1"/>
    <n v="0"/>
    <x v="0"/>
    <n v="0"/>
    <n v="0"/>
  </r>
  <r>
    <s v="L010S018"/>
    <x v="9"/>
    <x v="0"/>
    <x v="0"/>
    <x v="0"/>
    <x v="0"/>
    <x v="0"/>
    <x v="0"/>
    <n v="4"/>
    <x v="9"/>
    <n v="0.2"/>
    <n v="8.0000000000000016E-2"/>
  </r>
  <r>
    <s v="L010S011"/>
    <x v="9"/>
    <x v="11"/>
    <x v="2"/>
    <x v="1"/>
    <x v="3"/>
    <x v="2"/>
    <x v="0"/>
    <n v="4"/>
    <x v="9"/>
    <n v="0.2"/>
    <n v="8.0000000000000016E-2"/>
  </r>
  <r>
    <s v="L010S015"/>
    <x v="9"/>
    <x v="13"/>
    <x v="0"/>
    <x v="3"/>
    <x v="3"/>
    <x v="0"/>
    <x v="1"/>
    <n v="13"/>
    <x v="5"/>
    <n v="0.65"/>
    <n v="0.26"/>
  </r>
  <r>
    <s v="L010S012"/>
    <x v="9"/>
    <x v="6"/>
    <x v="0"/>
    <x v="3"/>
    <x v="5"/>
    <x v="1"/>
    <x v="1"/>
    <n v="0"/>
    <x v="0"/>
    <n v="0"/>
    <n v="0"/>
  </r>
  <r>
    <s v="L010S008"/>
    <x v="9"/>
    <x v="5"/>
    <x v="0"/>
    <x v="0"/>
    <x v="1"/>
    <x v="0"/>
    <x v="0"/>
    <n v="7"/>
    <x v="6"/>
    <n v="0.35"/>
    <n v="0.13999999999999999"/>
  </r>
  <r>
    <s v="L010S017"/>
    <x v="9"/>
    <x v="2"/>
    <x v="1"/>
    <x v="2"/>
    <x v="2"/>
    <x v="0"/>
    <x v="1"/>
    <n v="20"/>
    <x v="8"/>
    <n v="0.75"/>
    <n v="0.30000000000000004"/>
  </r>
  <r>
    <s v="L011S015"/>
    <x v="10"/>
    <x v="13"/>
    <x v="0"/>
    <x v="3"/>
    <x v="3"/>
    <x v="0"/>
    <x v="1"/>
    <n v="5"/>
    <x v="14"/>
    <n v="0.25"/>
    <n v="0.1"/>
  </r>
  <r>
    <s v="L011S003"/>
    <x v="10"/>
    <x v="19"/>
    <x v="0"/>
    <x v="1"/>
    <x v="2"/>
    <x v="1"/>
    <x v="1"/>
    <n v="17"/>
    <x v="4"/>
    <n v="0.85"/>
    <n v="0.17"/>
  </r>
  <r>
    <s v="L011S011"/>
    <x v="10"/>
    <x v="11"/>
    <x v="0"/>
    <x v="1"/>
    <x v="3"/>
    <x v="2"/>
    <x v="0"/>
    <n v="7"/>
    <x v="6"/>
    <n v="0.35"/>
    <n v="0.13999999999999999"/>
  </r>
  <r>
    <s v="L011S014"/>
    <x v="10"/>
    <x v="17"/>
    <x v="1"/>
    <x v="3"/>
    <x v="1"/>
    <x v="2"/>
    <x v="0"/>
    <n v="0"/>
    <x v="0"/>
    <n v="0"/>
    <n v="0"/>
  </r>
  <r>
    <s v="L011S020"/>
    <x v="10"/>
    <x v="3"/>
    <x v="0"/>
    <x v="3"/>
    <x v="3"/>
    <x v="1"/>
    <x v="0"/>
    <n v="0"/>
    <x v="0"/>
    <n v="0"/>
    <n v="0"/>
  </r>
  <r>
    <s v="L011S008"/>
    <x v="10"/>
    <x v="5"/>
    <x v="0"/>
    <x v="0"/>
    <x v="1"/>
    <x v="0"/>
    <x v="0"/>
    <n v="0"/>
    <x v="0"/>
    <n v="0"/>
    <n v="0"/>
  </r>
  <r>
    <s v="L011S019"/>
    <x v="10"/>
    <x v="10"/>
    <x v="2"/>
    <x v="0"/>
    <x v="6"/>
    <x v="1"/>
    <x v="1"/>
    <n v="0"/>
    <x v="0"/>
    <n v="0"/>
    <n v="0"/>
  </r>
  <r>
    <s v="L011S002"/>
    <x v="10"/>
    <x v="4"/>
    <x v="1"/>
    <x v="0"/>
    <x v="4"/>
    <x v="0"/>
    <x v="1"/>
    <n v="17"/>
    <x v="7"/>
    <n v="0.6"/>
    <n v="0.24"/>
  </r>
  <r>
    <s v="L011S007"/>
    <x v="10"/>
    <x v="8"/>
    <x v="2"/>
    <x v="2"/>
    <x v="5"/>
    <x v="0"/>
    <x v="1"/>
    <n v="8"/>
    <x v="13"/>
    <n v="0.4"/>
    <n v="0.16000000000000003"/>
  </r>
  <r>
    <s v="L011S016"/>
    <x v="10"/>
    <x v="1"/>
    <x v="1"/>
    <x v="1"/>
    <x v="1"/>
    <x v="1"/>
    <x v="1"/>
    <n v="0"/>
    <x v="0"/>
    <n v="0"/>
    <n v="0"/>
  </r>
  <r>
    <s v="L011S017"/>
    <x v="10"/>
    <x v="2"/>
    <x v="0"/>
    <x v="2"/>
    <x v="2"/>
    <x v="0"/>
    <x v="1"/>
    <n v="0"/>
    <x v="0"/>
    <n v="0"/>
    <n v="0"/>
  </r>
  <r>
    <s v="L011S012"/>
    <x v="10"/>
    <x v="6"/>
    <x v="1"/>
    <x v="3"/>
    <x v="5"/>
    <x v="1"/>
    <x v="1"/>
    <n v="17"/>
    <x v="7"/>
    <n v="0.6"/>
    <n v="0.12"/>
  </r>
  <r>
    <s v="L011S013"/>
    <x v="10"/>
    <x v="15"/>
    <x v="2"/>
    <x v="1"/>
    <x v="4"/>
    <x v="1"/>
    <x v="1"/>
    <n v="0"/>
    <x v="0"/>
    <n v="0"/>
    <n v="0"/>
  </r>
  <r>
    <s v="L012S006"/>
    <x v="11"/>
    <x v="12"/>
    <x v="0"/>
    <x v="2"/>
    <x v="6"/>
    <x v="2"/>
    <x v="0"/>
    <n v="5"/>
    <x v="14"/>
    <n v="0.25"/>
    <n v="0.1"/>
  </r>
  <r>
    <s v="L012S003"/>
    <x v="11"/>
    <x v="19"/>
    <x v="2"/>
    <x v="1"/>
    <x v="2"/>
    <x v="1"/>
    <x v="1"/>
    <n v="13"/>
    <x v="5"/>
    <n v="0.65"/>
    <n v="0.13"/>
  </r>
  <r>
    <s v="L012S009"/>
    <x v="11"/>
    <x v="16"/>
    <x v="0"/>
    <x v="2"/>
    <x v="6"/>
    <x v="1"/>
    <x v="1"/>
    <n v="0"/>
    <x v="0"/>
    <n v="0"/>
    <n v="0"/>
  </r>
  <r>
    <s v="L012S001"/>
    <x v="11"/>
    <x v="14"/>
    <x v="0"/>
    <x v="0"/>
    <x v="1"/>
    <x v="2"/>
    <x v="0"/>
    <n v="5"/>
    <x v="14"/>
    <n v="0.25"/>
    <n v="0.1"/>
  </r>
  <r>
    <s v="L012S004"/>
    <x v="11"/>
    <x v="18"/>
    <x v="2"/>
    <x v="3"/>
    <x v="3"/>
    <x v="1"/>
    <x v="0"/>
    <n v="20"/>
    <x v="3"/>
    <n v="1"/>
    <n v="0.2"/>
  </r>
  <r>
    <s v="L012S007"/>
    <x v="11"/>
    <x v="8"/>
    <x v="2"/>
    <x v="2"/>
    <x v="5"/>
    <x v="0"/>
    <x v="1"/>
    <n v="0"/>
    <x v="0"/>
    <n v="0"/>
    <n v="0"/>
  </r>
  <r>
    <s v="L013S019"/>
    <x v="12"/>
    <x v="10"/>
    <x v="0"/>
    <x v="0"/>
    <x v="6"/>
    <x v="1"/>
    <x v="1"/>
    <n v="0"/>
    <x v="0"/>
    <n v="0"/>
    <n v="0"/>
  </r>
  <r>
    <s v="L013S008"/>
    <x v="12"/>
    <x v="5"/>
    <x v="1"/>
    <x v="0"/>
    <x v="1"/>
    <x v="0"/>
    <x v="0"/>
    <n v="6"/>
    <x v="16"/>
    <n v="0.05"/>
    <n v="2.0000000000000004E-2"/>
  </r>
  <r>
    <s v="L013S017"/>
    <x v="12"/>
    <x v="2"/>
    <x v="0"/>
    <x v="2"/>
    <x v="2"/>
    <x v="0"/>
    <x v="1"/>
    <n v="4"/>
    <x v="9"/>
    <n v="0.2"/>
    <n v="8.0000000000000016E-2"/>
  </r>
  <r>
    <s v="L013S007"/>
    <x v="12"/>
    <x v="8"/>
    <x v="0"/>
    <x v="2"/>
    <x v="5"/>
    <x v="0"/>
    <x v="1"/>
    <n v="15"/>
    <x v="8"/>
    <n v="0.75"/>
    <n v="0.30000000000000004"/>
  </r>
  <r>
    <s v="L013S010"/>
    <x v="12"/>
    <x v="7"/>
    <x v="0"/>
    <x v="3"/>
    <x v="6"/>
    <x v="2"/>
    <x v="1"/>
    <n v="7"/>
    <x v="6"/>
    <n v="0.35"/>
    <n v="0.13999999999999999"/>
  </r>
  <r>
    <s v="L014S003"/>
    <x v="13"/>
    <x v="19"/>
    <x v="0"/>
    <x v="1"/>
    <x v="2"/>
    <x v="1"/>
    <x v="1"/>
    <n v="0"/>
    <x v="0"/>
    <n v="0"/>
    <n v="0"/>
  </r>
  <r>
    <s v="L014S020"/>
    <x v="13"/>
    <x v="3"/>
    <x v="0"/>
    <x v="3"/>
    <x v="3"/>
    <x v="1"/>
    <x v="0"/>
    <n v="0"/>
    <x v="0"/>
    <n v="0"/>
    <n v="0"/>
  </r>
  <r>
    <s v="L014S009"/>
    <x v="13"/>
    <x v="16"/>
    <x v="0"/>
    <x v="2"/>
    <x v="6"/>
    <x v="1"/>
    <x v="1"/>
    <n v="0"/>
    <x v="0"/>
    <n v="0"/>
    <n v="0"/>
  </r>
  <r>
    <s v="L014S017"/>
    <x v="13"/>
    <x v="2"/>
    <x v="1"/>
    <x v="2"/>
    <x v="2"/>
    <x v="0"/>
    <x v="1"/>
    <n v="14"/>
    <x v="17"/>
    <n v="0.45"/>
    <n v="0.18000000000000002"/>
  </r>
  <r>
    <s v="L014S014"/>
    <x v="13"/>
    <x v="17"/>
    <x v="0"/>
    <x v="3"/>
    <x v="1"/>
    <x v="2"/>
    <x v="0"/>
    <n v="18"/>
    <x v="15"/>
    <n v="0.9"/>
    <n v="0.36000000000000004"/>
  </r>
  <r>
    <s v="L015S004"/>
    <x v="14"/>
    <x v="18"/>
    <x v="0"/>
    <x v="3"/>
    <x v="3"/>
    <x v="1"/>
    <x v="0"/>
    <n v="0"/>
    <x v="0"/>
    <n v="0"/>
    <n v="0"/>
  </r>
  <r>
    <s v="L015S019"/>
    <x v="14"/>
    <x v="10"/>
    <x v="0"/>
    <x v="0"/>
    <x v="6"/>
    <x v="1"/>
    <x v="1"/>
    <n v="0"/>
    <x v="0"/>
    <n v="0"/>
    <n v="0"/>
  </r>
  <r>
    <s v="L015S006"/>
    <x v="14"/>
    <x v="12"/>
    <x v="0"/>
    <x v="2"/>
    <x v="6"/>
    <x v="2"/>
    <x v="0"/>
    <n v="17"/>
    <x v="4"/>
    <n v="0.85"/>
    <n v="0.34"/>
  </r>
  <r>
    <s v="L015S009"/>
    <x v="14"/>
    <x v="16"/>
    <x v="0"/>
    <x v="2"/>
    <x v="6"/>
    <x v="1"/>
    <x v="1"/>
    <n v="15"/>
    <x v="8"/>
    <n v="0.75"/>
    <n v="0.15000000000000002"/>
  </r>
  <r>
    <s v="L015S007"/>
    <x v="14"/>
    <x v="8"/>
    <x v="1"/>
    <x v="2"/>
    <x v="5"/>
    <x v="0"/>
    <x v="1"/>
    <n v="0"/>
    <x v="0"/>
    <n v="0"/>
    <n v="0"/>
  </r>
  <r>
    <s v="L015S016"/>
    <x v="14"/>
    <x v="1"/>
    <x v="0"/>
    <x v="1"/>
    <x v="1"/>
    <x v="1"/>
    <x v="1"/>
    <n v="0"/>
    <x v="0"/>
    <n v="0"/>
    <n v="0"/>
  </r>
  <r>
    <s v="L015S017"/>
    <x v="14"/>
    <x v="2"/>
    <x v="0"/>
    <x v="2"/>
    <x v="2"/>
    <x v="0"/>
    <x v="1"/>
    <n v="0"/>
    <x v="0"/>
    <n v="0"/>
    <n v="0"/>
  </r>
  <r>
    <s v="L015S013"/>
    <x v="14"/>
    <x v="15"/>
    <x v="0"/>
    <x v="1"/>
    <x v="4"/>
    <x v="1"/>
    <x v="1"/>
    <n v="10"/>
    <x v="2"/>
    <n v="0.5"/>
    <n v="0.1"/>
  </r>
  <r>
    <s v="L015S012"/>
    <x v="14"/>
    <x v="6"/>
    <x v="2"/>
    <x v="3"/>
    <x v="5"/>
    <x v="1"/>
    <x v="1"/>
    <n v="17"/>
    <x v="4"/>
    <n v="0.85"/>
    <n v="0.17"/>
  </r>
  <r>
    <s v="L016S006"/>
    <x v="15"/>
    <x v="12"/>
    <x v="0"/>
    <x v="2"/>
    <x v="6"/>
    <x v="2"/>
    <x v="0"/>
    <n v="0"/>
    <x v="0"/>
    <n v="0"/>
    <n v="0"/>
  </r>
  <r>
    <s v="L016S017"/>
    <x v="15"/>
    <x v="2"/>
    <x v="0"/>
    <x v="2"/>
    <x v="2"/>
    <x v="0"/>
    <x v="1"/>
    <n v="0"/>
    <x v="0"/>
    <n v="0"/>
    <n v="0"/>
  </r>
  <r>
    <s v="L016S018"/>
    <x v="15"/>
    <x v="0"/>
    <x v="1"/>
    <x v="0"/>
    <x v="0"/>
    <x v="0"/>
    <x v="0"/>
    <n v="12"/>
    <x v="6"/>
    <n v="0.35"/>
    <n v="0.13999999999999999"/>
  </r>
  <r>
    <s v="L016S019"/>
    <x v="15"/>
    <x v="10"/>
    <x v="1"/>
    <x v="0"/>
    <x v="6"/>
    <x v="1"/>
    <x v="1"/>
    <n v="0"/>
    <x v="0"/>
    <n v="0"/>
    <n v="0"/>
  </r>
  <r>
    <s v="L016S015"/>
    <x v="15"/>
    <x v="13"/>
    <x v="1"/>
    <x v="3"/>
    <x v="3"/>
    <x v="0"/>
    <x v="1"/>
    <n v="6"/>
    <x v="16"/>
    <n v="0.05"/>
    <n v="2.0000000000000004E-2"/>
  </r>
  <r>
    <s v="L016S012"/>
    <x v="15"/>
    <x v="6"/>
    <x v="0"/>
    <x v="3"/>
    <x v="5"/>
    <x v="1"/>
    <x v="1"/>
    <n v="15"/>
    <x v="8"/>
    <n v="0.75"/>
    <n v="0.15000000000000002"/>
  </r>
  <r>
    <s v="L016S011"/>
    <x v="15"/>
    <x v="11"/>
    <x v="0"/>
    <x v="1"/>
    <x v="3"/>
    <x v="2"/>
    <x v="0"/>
    <n v="0"/>
    <x v="0"/>
    <n v="0"/>
    <n v="0"/>
  </r>
  <r>
    <s v="L017S012"/>
    <x v="16"/>
    <x v="6"/>
    <x v="2"/>
    <x v="3"/>
    <x v="5"/>
    <x v="1"/>
    <x v="1"/>
    <n v="0"/>
    <x v="0"/>
    <n v="0"/>
    <n v="0"/>
  </r>
  <r>
    <s v="L017S009"/>
    <x v="16"/>
    <x v="16"/>
    <x v="0"/>
    <x v="2"/>
    <x v="6"/>
    <x v="1"/>
    <x v="1"/>
    <n v="7"/>
    <x v="6"/>
    <n v="0.35"/>
    <n v="6.9999999999999993E-2"/>
  </r>
  <r>
    <s v="L017S013"/>
    <x v="16"/>
    <x v="15"/>
    <x v="0"/>
    <x v="1"/>
    <x v="4"/>
    <x v="1"/>
    <x v="1"/>
    <n v="0"/>
    <x v="0"/>
    <n v="0"/>
    <n v="0"/>
  </r>
  <r>
    <s v="L017S010"/>
    <x v="16"/>
    <x v="7"/>
    <x v="0"/>
    <x v="3"/>
    <x v="6"/>
    <x v="2"/>
    <x v="1"/>
    <n v="0"/>
    <x v="0"/>
    <n v="0"/>
    <n v="0"/>
  </r>
  <r>
    <s v="L017S003"/>
    <x v="16"/>
    <x v="19"/>
    <x v="0"/>
    <x v="1"/>
    <x v="2"/>
    <x v="1"/>
    <x v="1"/>
    <n v="10"/>
    <x v="2"/>
    <n v="0.5"/>
    <n v="0.1"/>
  </r>
  <r>
    <s v="L017S019"/>
    <x v="16"/>
    <x v="10"/>
    <x v="1"/>
    <x v="0"/>
    <x v="6"/>
    <x v="1"/>
    <x v="1"/>
    <n v="0"/>
    <x v="0"/>
    <n v="0"/>
    <n v="0"/>
  </r>
  <r>
    <s v="L017S018"/>
    <x v="16"/>
    <x v="0"/>
    <x v="1"/>
    <x v="0"/>
    <x v="0"/>
    <x v="0"/>
    <x v="0"/>
    <n v="9"/>
    <x v="9"/>
    <n v="0.2"/>
    <n v="8.0000000000000016E-2"/>
  </r>
  <r>
    <s v="L018S014"/>
    <x v="17"/>
    <x v="17"/>
    <x v="1"/>
    <x v="3"/>
    <x v="1"/>
    <x v="2"/>
    <x v="0"/>
    <n v="0"/>
    <x v="0"/>
    <n v="0"/>
    <n v="0"/>
  </r>
  <r>
    <s v="L018S008"/>
    <x v="17"/>
    <x v="5"/>
    <x v="0"/>
    <x v="0"/>
    <x v="1"/>
    <x v="0"/>
    <x v="0"/>
    <n v="14"/>
    <x v="12"/>
    <n v="0.7"/>
    <n v="0.27999999999999997"/>
  </r>
  <r>
    <s v="L018S012"/>
    <x v="17"/>
    <x v="6"/>
    <x v="1"/>
    <x v="3"/>
    <x v="5"/>
    <x v="1"/>
    <x v="1"/>
    <n v="0"/>
    <x v="0"/>
    <n v="0"/>
    <n v="0"/>
  </r>
  <r>
    <s v="L018S001"/>
    <x v="17"/>
    <x v="14"/>
    <x v="1"/>
    <x v="0"/>
    <x v="1"/>
    <x v="2"/>
    <x v="0"/>
    <n v="0"/>
    <x v="0"/>
    <n v="0"/>
    <n v="0"/>
  </r>
  <r>
    <s v="L018S013"/>
    <x v="17"/>
    <x v="15"/>
    <x v="1"/>
    <x v="1"/>
    <x v="4"/>
    <x v="1"/>
    <x v="1"/>
    <n v="16"/>
    <x v="1"/>
    <n v="0.55000000000000004"/>
    <n v="0.11000000000000001"/>
  </r>
  <r>
    <s v="L018S005"/>
    <x v="17"/>
    <x v="9"/>
    <x v="0"/>
    <x v="1"/>
    <x v="3"/>
    <x v="1"/>
    <x v="0"/>
    <n v="12"/>
    <x v="7"/>
    <n v="0.6"/>
    <n v="0.12"/>
  </r>
  <r>
    <s v="L018S020"/>
    <x v="17"/>
    <x v="3"/>
    <x v="0"/>
    <x v="3"/>
    <x v="3"/>
    <x v="1"/>
    <x v="0"/>
    <n v="11"/>
    <x v="1"/>
    <n v="0.55000000000000004"/>
    <n v="0.11000000000000001"/>
  </r>
  <r>
    <s v="L019S008"/>
    <x v="18"/>
    <x v="5"/>
    <x v="0"/>
    <x v="0"/>
    <x v="1"/>
    <x v="0"/>
    <x v="0"/>
    <n v="0"/>
    <x v="0"/>
    <n v="0"/>
    <n v="0"/>
  </r>
  <r>
    <s v="L019S006"/>
    <x v="18"/>
    <x v="12"/>
    <x v="1"/>
    <x v="2"/>
    <x v="6"/>
    <x v="2"/>
    <x v="0"/>
    <n v="0"/>
    <x v="0"/>
    <n v="0"/>
    <n v="0"/>
  </r>
  <r>
    <s v="L019S015"/>
    <x v="18"/>
    <x v="13"/>
    <x v="0"/>
    <x v="3"/>
    <x v="3"/>
    <x v="0"/>
    <x v="1"/>
    <n v="0"/>
    <x v="0"/>
    <n v="0"/>
    <n v="0"/>
  </r>
  <r>
    <s v="L019S005"/>
    <x v="18"/>
    <x v="9"/>
    <x v="0"/>
    <x v="1"/>
    <x v="3"/>
    <x v="1"/>
    <x v="0"/>
    <n v="5"/>
    <x v="14"/>
    <n v="0.25"/>
    <n v="0.05"/>
  </r>
  <r>
    <s v="L019S017"/>
    <x v="18"/>
    <x v="2"/>
    <x v="0"/>
    <x v="2"/>
    <x v="2"/>
    <x v="0"/>
    <x v="1"/>
    <n v="0"/>
    <x v="0"/>
    <n v="0"/>
    <n v="0"/>
  </r>
  <r>
    <s v="L019S011"/>
    <x v="18"/>
    <x v="11"/>
    <x v="1"/>
    <x v="1"/>
    <x v="3"/>
    <x v="2"/>
    <x v="0"/>
    <n v="0"/>
    <x v="0"/>
    <n v="0"/>
    <n v="0"/>
  </r>
  <r>
    <s v="L020S002"/>
    <x v="19"/>
    <x v="4"/>
    <x v="0"/>
    <x v="0"/>
    <x v="4"/>
    <x v="0"/>
    <x v="1"/>
    <n v="0"/>
    <x v="0"/>
    <n v="0"/>
    <n v="0"/>
  </r>
  <r>
    <s v="L020S007"/>
    <x v="19"/>
    <x v="8"/>
    <x v="0"/>
    <x v="2"/>
    <x v="5"/>
    <x v="0"/>
    <x v="1"/>
    <n v="0"/>
    <x v="0"/>
    <n v="0"/>
    <n v="0"/>
  </r>
  <r>
    <s v="L020S019"/>
    <x v="19"/>
    <x v="10"/>
    <x v="0"/>
    <x v="0"/>
    <x v="6"/>
    <x v="1"/>
    <x v="1"/>
    <n v="12"/>
    <x v="7"/>
    <n v="0.6"/>
    <n v="0.12"/>
  </r>
  <r>
    <s v="L020S006"/>
    <x v="19"/>
    <x v="12"/>
    <x v="0"/>
    <x v="2"/>
    <x v="6"/>
    <x v="2"/>
    <x v="0"/>
    <n v="14"/>
    <x v="12"/>
    <n v="0.7"/>
    <n v="0.27999999999999997"/>
  </r>
  <r>
    <s v="L020S004"/>
    <x v="19"/>
    <x v="18"/>
    <x v="0"/>
    <x v="3"/>
    <x v="3"/>
    <x v="1"/>
    <x v="0"/>
    <n v="0"/>
    <x v="0"/>
    <n v="0"/>
    <n v="0"/>
  </r>
  <r>
    <s v="L020S011"/>
    <x v="19"/>
    <x v="11"/>
    <x v="0"/>
    <x v="1"/>
    <x v="3"/>
    <x v="2"/>
    <x v="0"/>
    <n v="0"/>
    <x v="0"/>
    <n v="0"/>
    <n v="0"/>
  </r>
  <r>
    <s v="L020S014"/>
    <x v="19"/>
    <x v="17"/>
    <x v="0"/>
    <x v="3"/>
    <x v="1"/>
    <x v="2"/>
    <x v="0"/>
    <n v="12"/>
    <x v="7"/>
    <n v="0.6"/>
    <n v="0.24"/>
  </r>
  <r>
    <s v="L020S008"/>
    <x v="19"/>
    <x v="5"/>
    <x v="1"/>
    <x v="0"/>
    <x v="1"/>
    <x v="0"/>
    <x v="0"/>
    <n v="13"/>
    <x v="13"/>
    <n v="0.4"/>
    <n v="0.16000000000000003"/>
  </r>
  <r>
    <s v="L020S018"/>
    <x v="19"/>
    <x v="0"/>
    <x v="0"/>
    <x v="0"/>
    <x v="0"/>
    <x v="0"/>
    <x v="0"/>
    <n v="13"/>
    <x v="5"/>
    <n v="0.65"/>
    <n v="0.26"/>
  </r>
  <r>
    <s v="L020S017"/>
    <x v="19"/>
    <x v="2"/>
    <x v="0"/>
    <x v="2"/>
    <x v="2"/>
    <x v="0"/>
    <x v="1"/>
    <n v="0"/>
    <x v="0"/>
    <n v="0"/>
    <n v="0"/>
  </r>
  <r>
    <s v="L020S005"/>
    <x v="19"/>
    <x v="9"/>
    <x v="1"/>
    <x v="1"/>
    <x v="3"/>
    <x v="1"/>
    <x v="0"/>
    <n v="0"/>
    <x v="0"/>
    <n v="0"/>
    <n v="0"/>
  </r>
  <r>
    <s v="L021S020"/>
    <x v="20"/>
    <x v="3"/>
    <x v="2"/>
    <x v="3"/>
    <x v="3"/>
    <x v="1"/>
    <x v="0"/>
    <n v="0"/>
    <x v="0"/>
    <n v="0"/>
    <n v="0"/>
  </r>
  <r>
    <s v="L021S019"/>
    <x v="20"/>
    <x v="10"/>
    <x v="0"/>
    <x v="0"/>
    <x v="6"/>
    <x v="1"/>
    <x v="1"/>
    <n v="0"/>
    <x v="0"/>
    <n v="0"/>
    <n v="0"/>
  </r>
  <r>
    <s v="L021S005"/>
    <x v="20"/>
    <x v="9"/>
    <x v="0"/>
    <x v="1"/>
    <x v="3"/>
    <x v="1"/>
    <x v="0"/>
    <n v="0"/>
    <x v="0"/>
    <n v="0"/>
    <n v="0"/>
  </r>
  <r>
    <s v="L021S010"/>
    <x v="20"/>
    <x v="7"/>
    <x v="0"/>
    <x v="3"/>
    <x v="6"/>
    <x v="2"/>
    <x v="1"/>
    <n v="0"/>
    <x v="0"/>
    <n v="0"/>
    <n v="0"/>
  </r>
  <r>
    <s v="L021S002"/>
    <x v="20"/>
    <x v="4"/>
    <x v="0"/>
    <x v="0"/>
    <x v="4"/>
    <x v="0"/>
    <x v="1"/>
    <n v="0"/>
    <x v="0"/>
    <n v="0"/>
    <n v="0"/>
  </r>
  <r>
    <s v="L021S018"/>
    <x v="20"/>
    <x v="0"/>
    <x v="2"/>
    <x v="0"/>
    <x v="0"/>
    <x v="0"/>
    <x v="0"/>
    <n v="20"/>
    <x v="3"/>
    <n v="1"/>
    <n v="0.4"/>
  </r>
  <r>
    <s v="L022S016"/>
    <x v="21"/>
    <x v="1"/>
    <x v="0"/>
    <x v="1"/>
    <x v="1"/>
    <x v="1"/>
    <x v="1"/>
    <n v="17"/>
    <x v="4"/>
    <n v="0.85"/>
    <n v="0.17"/>
  </r>
  <r>
    <s v="L022S012"/>
    <x v="21"/>
    <x v="6"/>
    <x v="0"/>
    <x v="3"/>
    <x v="5"/>
    <x v="1"/>
    <x v="1"/>
    <n v="0"/>
    <x v="0"/>
    <n v="0"/>
    <n v="0"/>
  </r>
  <r>
    <s v="L022S020"/>
    <x v="21"/>
    <x v="3"/>
    <x v="0"/>
    <x v="3"/>
    <x v="3"/>
    <x v="1"/>
    <x v="0"/>
    <n v="13"/>
    <x v="5"/>
    <n v="0.65"/>
    <n v="0.13"/>
  </r>
  <r>
    <s v="L022S006"/>
    <x v="21"/>
    <x v="12"/>
    <x v="0"/>
    <x v="2"/>
    <x v="6"/>
    <x v="2"/>
    <x v="0"/>
    <n v="0"/>
    <x v="0"/>
    <n v="0"/>
    <n v="0"/>
  </r>
  <r>
    <s v="L022S009"/>
    <x v="21"/>
    <x v="16"/>
    <x v="0"/>
    <x v="2"/>
    <x v="6"/>
    <x v="1"/>
    <x v="1"/>
    <n v="14"/>
    <x v="12"/>
    <n v="0.7"/>
    <n v="0.13999999999999999"/>
  </r>
  <r>
    <s v="L022S008"/>
    <x v="21"/>
    <x v="5"/>
    <x v="0"/>
    <x v="0"/>
    <x v="1"/>
    <x v="0"/>
    <x v="0"/>
    <n v="0"/>
    <x v="0"/>
    <n v="0"/>
    <n v="0"/>
  </r>
  <r>
    <s v="L022S013"/>
    <x v="21"/>
    <x v="15"/>
    <x v="0"/>
    <x v="1"/>
    <x v="4"/>
    <x v="1"/>
    <x v="1"/>
    <n v="4"/>
    <x v="9"/>
    <n v="0.2"/>
    <n v="4.0000000000000008E-2"/>
  </r>
  <r>
    <s v="L022S011"/>
    <x v="21"/>
    <x v="11"/>
    <x v="1"/>
    <x v="1"/>
    <x v="3"/>
    <x v="2"/>
    <x v="0"/>
    <n v="17"/>
    <x v="7"/>
    <n v="0.6"/>
    <n v="0.24"/>
  </r>
  <r>
    <s v="L022S001"/>
    <x v="21"/>
    <x v="14"/>
    <x v="1"/>
    <x v="0"/>
    <x v="1"/>
    <x v="2"/>
    <x v="0"/>
    <n v="16"/>
    <x v="1"/>
    <n v="0.55000000000000004"/>
    <n v="0.22000000000000003"/>
  </r>
  <r>
    <s v="L023S009"/>
    <x v="22"/>
    <x v="16"/>
    <x v="2"/>
    <x v="2"/>
    <x v="6"/>
    <x v="1"/>
    <x v="1"/>
    <n v="6"/>
    <x v="11"/>
    <n v="0.3"/>
    <n v="0.06"/>
  </r>
  <r>
    <s v="L023S014"/>
    <x v="22"/>
    <x v="17"/>
    <x v="0"/>
    <x v="3"/>
    <x v="1"/>
    <x v="2"/>
    <x v="0"/>
    <n v="0"/>
    <x v="0"/>
    <n v="0"/>
    <n v="0"/>
  </r>
  <r>
    <s v="L023S010"/>
    <x v="22"/>
    <x v="7"/>
    <x v="0"/>
    <x v="3"/>
    <x v="6"/>
    <x v="2"/>
    <x v="1"/>
    <n v="4"/>
    <x v="9"/>
    <n v="0.2"/>
    <n v="8.0000000000000016E-2"/>
  </r>
  <r>
    <s v="L023S001"/>
    <x v="22"/>
    <x v="14"/>
    <x v="0"/>
    <x v="0"/>
    <x v="1"/>
    <x v="2"/>
    <x v="0"/>
    <n v="0"/>
    <x v="0"/>
    <n v="0"/>
    <n v="0"/>
  </r>
  <r>
    <s v="L023S019"/>
    <x v="22"/>
    <x v="10"/>
    <x v="0"/>
    <x v="0"/>
    <x v="6"/>
    <x v="1"/>
    <x v="1"/>
    <n v="0"/>
    <x v="0"/>
    <n v="0"/>
    <n v="0"/>
  </r>
  <r>
    <s v="L023S011"/>
    <x v="22"/>
    <x v="11"/>
    <x v="0"/>
    <x v="1"/>
    <x v="3"/>
    <x v="2"/>
    <x v="0"/>
    <n v="0"/>
    <x v="0"/>
    <n v="0"/>
    <n v="0"/>
  </r>
  <r>
    <s v="L023S002"/>
    <x v="22"/>
    <x v="4"/>
    <x v="1"/>
    <x v="0"/>
    <x v="4"/>
    <x v="0"/>
    <x v="1"/>
    <n v="5"/>
    <x v="0"/>
    <n v="0"/>
    <n v="0"/>
  </r>
  <r>
    <s v="L023S003"/>
    <x v="22"/>
    <x v="19"/>
    <x v="0"/>
    <x v="1"/>
    <x v="2"/>
    <x v="1"/>
    <x v="1"/>
    <n v="0"/>
    <x v="0"/>
    <n v="0"/>
    <n v="0"/>
  </r>
  <r>
    <s v="L023S007"/>
    <x v="22"/>
    <x v="8"/>
    <x v="1"/>
    <x v="2"/>
    <x v="5"/>
    <x v="0"/>
    <x v="1"/>
    <n v="19"/>
    <x v="12"/>
    <n v="0.7"/>
    <n v="0.27999999999999997"/>
  </r>
  <r>
    <s v="L024S008"/>
    <x v="23"/>
    <x v="5"/>
    <x v="0"/>
    <x v="0"/>
    <x v="1"/>
    <x v="0"/>
    <x v="0"/>
    <n v="0"/>
    <x v="0"/>
    <n v="0"/>
    <n v="0"/>
  </r>
  <r>
    <s v="L024S003"/>
    <x v="23"/>
    <x v="19"/>
    <x v="1"/>
    <x v="1"/>
    <x v="2"/>
    <x v="1"/>
    <x v="1"/>
    <n v="5"/>
    <x v="0"/>
    <n v="0"/>
    <n v="0"/>
  </r>
  <r>
    <s v="L024S001"/>
    <x v="23"/>
    <x v="14"/>
    <x v="0"/>
    <x v="0"/>
    <x v="1"/>
    <x v="2"/>
    <x v="0"/>
    <n v="15"/>
    <x v="8"/>
    <n v="0.75"/>
    <n v="0.30000000000000004"/>
  </r>
  <r>
    <s v="L024S014"/>
    <x v="23"/>
    <x v="17"/>
    <x v="0"/>
    <x v="3"/>
    <x v="1"/>
    <x v="2"/>
    <x v="0"/>
    <n v="11"/>
    <x v="1"/>
    <n v="0.55000000000000004"/>
    <n v="0.22000000000000003"/>
  </r>
  <r>
    <s v="L024S002"/>
    <x v="23"/>
    <x v="4"/>
    <x v="2"/>
    <x v="0"/>
    <x v="4"/>
    <x v="0"/>
    <x v="1"/>
    <n v="9"/>
    <x v="17"/>
    <n v="0.45"/>
    <n v="0.18000000000000002"/>
  </r>
  <r>
    <s v="L024S007"/>
    <x v="23"/>
    <x v="8"/>
    <x v="0"/>
    <x v="2"/>
    <x v="5"/>
    <x v="0"/>
    <x v="1"/>
    <n v="0"/>
    <x v="0"/>
    <n v="0"/>
    <n v="0"/>
  </r>
  <r>
    <s v="L024S017"/>
    <x v="23"/>
    <x v="2"/>
    <x v="0"/>
    <x v="2"/>
    <x v="2"/>
    <x v="0"/>
    <x v="1"/>
    <n v="5"/>
    <x v="14"/>
    <n v="0.25"/>
    <n v="0.1"/>
  </r>
  <r>
    <s v="L025S015"/>
    <x v="24"/>
    <x v="13"/>
    <x v="0"/>
    <x v="3"/>
    <x v="3"/>
    <x v="0"/>
    <x v="1"/>
    <n v="0"/>
    <x v="0"/>
    <n v="0"/>
    <n v="0"/>
  </r>
  <r>
    <s v="L025S018"/>
    <x v="24"/>
    <x v="0"/>
    <x v="1"/>
    <x v="0"/>
    <x v="0"/>
    <x v="0"/>
    <x v="0"/>
    <n v="0"/>
    <x v="0"/>
    <n v="0"/>
    <n v="0"/>
  </r>
  <r>
    <s v="L025S011"/>
    <x v="24"/>
    <x v="11"/>
    <x v="0"/>
    <x v="1"/>
    <x v="3"/>
    <x v="2"/>
    <x v="0"/>
    <n v="12"/>
    <x v="7"/>
    <n v="0.6"/>
    <n v="0.24"/>
  </r>
  <r>
    <s v="L025S004"/>
    <x v="24"/>
    <x v="18"/>
    <x v="0"/>
    <x v="3"/>
    <x v="3"/>
    <x v="1"/>
    <x v="0"/>
    <n v="0"/>
    <x v="0"/>
    <n v="0"/>
    <n v="0"/>
  </r>
  <r>
    <s v="L025S013"/>
    <x v="24"/>
    <x v="15"/>
    <x v="0"/>
    <x v="1"/>
    <x v="4"/>
    <x v="1"/>
    <x v="1"/>
    <n v="0"/>
    <x v="0"/>
    <n v="0"/>
    <n v="0"/>
  </r>
  <r>
    <s v="L025S005"/>
    <x v="24"/>
    <x v="9"/>
    <x v="1"/>
    <x v="1"/>
    <x v="3"/>
    <x v="1"/>
    <x v="0"/>
    <n v="0"/>
    <x v="0"/>
    <n v="0"/>
    <n v="0"/>
  </r>
  <r>
    <s v="L025S017"/>
    <x v="24"/>
    <x v="2"/>
    <x v="1"/>
    <x v="2"/>
    <x v="2"/>
    <x v="0"/>
    <x v="1"/>
    <n v="0"/>
    <x v="0"/>
    <n v="0"/>
    <n v="0"/>
  </r>
  <r>
    <s v="L025S007"/>
    <x v="24"/>
    <x v="8"/>
    <x v="0"/>
    <x v="2"/>
    <x v="5"/>
    <x v="0"/>
    <x v="1"/>
    <n v="0"/>
    <x v="0"/>
    <n v="0"/>
    <n v="0"/>
  </r>
  <r>
    <s v="L025S014"/>
    <x v="24"/>
    <x v="17"/>
    <x v="1"/>
    <x v="3"/>
    <x v="1"/>
    <x v="2"/>
    <x v="0"/>
    <n v="13"/>
    <x v="13"/>
    <n v="0.4"/>
    <n v="0.16000000000000003"/>
  </r>
  <r>
    <s v="L025S006"/>
    <x v="24"/>
    <x v="12"/>
    <x v="2"/>
    <x v="2"/>
    <x v="6"/>
    <x v="2"/>
    <x v="0"/>
    <n v="13"/>
    <x v="5"/>
    <n v="0.65"/>
    <n v="0.26"/>
  </r>
  <r>
    <s v="L025S002"/>
    <x v="24"/>
    <x v="4"/>
    <x v="0"/>
    <x v="0"/>
    <x v="4"/>
    <x v="0"/>
    <x v="1"/>
    <n v="0"/>
    <x v="0"/>
    <n v="0"/>
    <n v="0"/>
  </r>
  <r>
    <s v="L025S019"/>
    <x v="24"/>
    <x v="10"/>
    <x v="0"/>
    <x v="0"/>
    <x v="6"/>
    <x v="1"/>
    <x v="1"/>
    <n v="0"/>
    <x v="0"/>
    <n v="0"/>
    <n v="0"/>
  </r>
  <r>
    <s v="L026S013"/>
    <x v="25"/>
    <x v="15"/>
    <x v="2"/>
    <x v="1"/>
    <x v="4"/>
    <x v="1"/>
    <x v="1"/>
    <n v="9"/>
    <x v="17"/>
    <n v="0.45"/>
    <n v="9.0000000000000011E-2"/>
  </r>
  <r>
    <s v="L026S003"/>
    <x v="25"/>
    <x v="19"/>
    <x v="1"/>
    <x v="1"/>
    <x v="2"/>
    <x v="1"/>
    <x v="1"/>
    <n v="0"/>
    <x v="0"/>
    <n v="0"/>
    <n v="0"/>
  </r>
  <r>
    <s v="L026S008"/>
    <x v="25"/>
    <x v="5"/>
    <x v="0"/>
    <x v="0"/>
    <x v="1"/>
    <x v="0"/>
    <x v="0"/>
    <n v="17"/>
    <x v="4"/>
    <n v="0.85"/>
    <n v="0.34"/>
  </r>
  <r>
    <s v="L026S010"/>
    <x v="25"/>
    <x v="7"/>
    <x v="0"/>
    <x v="3"/>
    <x v="6"/>
    <x v="2"/>
    <x v="1"/>
    <n v="0"/>
    <x v="0"/>
    <n v="0"/>
    <n v="0"/>
  </r>
  <r>
    <s v="L026S002"/>
    <x v="25"/>
    <x v="4"/>
    <x v="0"/>
    <x v="0"/>
    <x v="4"/>
    <x v="0"/>
    <x v="1"/>
    <n v="9"/>
    <x v="17"/>
    <n v="0.45"/>
    <n v="0.18000000000000002"/>
  </r>
  <r>
    <s v="L027S002"/>
    <x v="26"/>
    <x v="4"/>
    <x v="0"/>
    <x v="0"/>
    <x v="4"/>
    <x v="0"/>
    <x v="1"/>
    <n v="0"/>
    <x v="0"/>
    <n v="0"/>
    <n v="0"/>
  </r>
  <r>
    <s v="L027S003"/>
    <x v="26"/>
    <x v="19"/>
    <x v="1"/>
    <x v="1"/>
    <x v="2"/>
    <x v="1"/>
    <x v="1"/>
    <n v="19"/>
    <x v="12"/>
    <n v="0.7"/>
    <n v="0.13999999999999999"/>
  </r>
  <r>
    <s v="L027S011"/>
    <x v="26"/>
    <x v="11"/>
    <x v="0"/>
    <x v="1"/>
    <x v="3"/>
    <x v="2"/>
    <x v="0"/>
    <n v="0"/>
    <x v="0"/>
    <n v="0"/>
    <n v="0"/>
  </r>
  <r>
    <s v="L027S005"/>
    <x v="26"/>
    <x v="9"/>
    <x v="0"/>
    <x v="1"/>
    <x v="3"/>
    <x v="1"/>
    <x v="0"/>
    <n v="12"/>
    <x v="7"/>
    <n v="0.6"/>
    <n v="0.12"/>
  </r>
  <r>
    <s v="L027S004"/>
    <x v="26"/>
    <x v="18"/>
    <x v="0"/>
    <x v="3"/>
    <x v="3"/>
    <x v="1"/>
    <x v="0"/>
    <n v="0"/>
    <x v="0"/>
    <n v="0"/>
    <n v="0"/>
  </r>
  <r>
    <s v="L027S016"/>
    <x v="26"/>
    <x v="1"/>
    <x v="0"/>
    <x v="1"/>
    <x v="1"/>
    <x v="1"/>
    <x v="1"/>
    <n v="0"/>
    <x v="0"/>
    <n v="0"/>
    <n v="0"/>
  </r>
  <r>
    <s v="L027S009"/>
    <x v="26"/>
    <x v="16"/>
    <x v="2"/>
    <x v="2"/>
    <x v="6"/>
    <x v="1"/>
    <x v="1"/>
    <n v="14"/>
    <x v="12"/>
    <n v="0.7"/>
    <n v="0.13999999999999999"/>
  </r>
  <r>
    <s v="L027S015"/>
    <x v="26"/>
    <x v="13"/>
    <x v="0"/>
    <x v="3"/>
    <x v="3"/>
    <x v="0"/>
    <x v="1"/>
    <n v="0"/>
    <x v="0"/>
    <n v="0"/>
    <n v="0"/>
  </r>
  <r>
    <s v="L027S018"/>
    <x v="26"/>
    <x v="0"/>
    <x v="2"/>
    <x v="0"/>
    <x v="0"/>
    <x v="0"/>
    <x v="0"/>
    <n v="17"/>
    <x v="4"/>
    <n v="0.85"/>
    <n v="0.34"/>
  </r>
  <r>
    <s v="L028S004"/>
    <x v="27"/>
    <x v="18"/>
    <x v="0"/>
    <x v="3"/>
    <x v="3"/>
    <x v="1"/>
    <x v="0"/>
    <n v="0"/>
    <x v="0"/>
    <n v="0"/>
    <n v="0"/>
  </r>
  <r>
    <s v="L028S015"/>
    <x v="27"/>
    <x v="13"/>
    <x v="0"/>
    <x v="3"/>
    <x v="3"/>
    <x v="0"/>
    <x v="1"/>
    <n v="0"/>
    <x v="0"/>
    <n v="0"/>
    <n v="0"/>
  </r>
  <r>
    <s v="L028S001"/>
    <x v="27"/>
    <x v="14"/>
    <x v="0"/>
    <x v="0"/>
    <x v="1"/>
    <x v="2"/>
    <x v="0"/>
    <n v="4"/>
    <x v="9"/>
    <n v="0.2"/>
    <n v="8.0000000000000016E-2"/>
  </r>
  <r>
    <s v="L028S018"/>
    <x v="27"/>
    <x v="0"/>
    <x v="0"/>
    <x v="0"/>
    <x v="0"/>
    <x v="0"/>
    <x v="0"/>
    <n v="8"/>
    <x v="13"/>
    <n v="0.4"/>
    <n v="0.16000000000000003"/>
  </r>
  <r>
    <s v="L028S008"/>
    <x v="27"/>
    <x v="5"/>
    <x v="0"/>
    <x v="0"/>
    <x v="1"/>
    <x v="0"/>
    <x v="0"/>
    <n v="0"/>
    <x v="0"/>
    <n v="0"/>
    <n v="0"/>
  </r>
  <r>
    <s v="L028S007"/>
    <x v="27"/>
    <x v="8"/>
    <x v="0"/>
    <x v="2"/>
    <x v="5"/>
    <x v="0"/>
    <x v="1"/>
    <n v="0"/>
    <x v="0"/>
    <n v="0"/>
    <n v="0"/>
  </r>
  <r>
    <s v="L028S011"/>
    <x v="27"/>
    <x v="11"/>
    <x v="0"/>
    <x v="1"/>
    <x v="3"/>
    <x v="2"/>
    <x v="0"/>
    <n v="0"/>
    <x v="0"/>
    <n v="0"/>
    <n v="0"/>
  </r>
  <r>
    <s v="L028S002"/>
    <x v="27"/>
    <x v="4"/>
    <x v="0"/>
    <x v="0"/>
    <x v="4"/>
    <x v="0"/>
    <x v="1"/>
    <n v="15"/>
    <x v="8"/>
    <n v="0.75"/>
    <n v="0.30000000000000004"/>
  </r>
  <r>
    <s v="L028S006"/>
    <x v="27"/>
    <x v="12"/>
    <x v="0"/>
    <x v="2"/>
    <x v="6"/>
    <x v="2"/>
    <x v="0"/>
    <n v="0"/>
    <x v="0"/>
    <n v="0"/>
    <n v="0"/>
  </r>
  <r>
    <s v="L028S010"/>
    <x v="27"/>
    <x v="7"/>
    <x v="0"/>
    <x v="3"/>
    <x v="6"/>
    <x v="2"/>
    <x v="1"/>
    <n v="0"/>
    <x v="0"/>
    <n v="0"/>
    <n v="0"/>
  </r>
  <r>
    <s v="L028S020"/>
    <x v="27"/>
    <x v="3"/>
    <x v="2"/>
    <x v="3"/>
    <x v="3"/>
    <x v="1"/>
    <x v="0"/>
    <n v="0"/>
    <x v="0"/>
    <n v="0"/>
    <n v="0"/>
  </r>
  <r>
    <s v="L029S005"/>
    <x v="28"/>
    <x v="9"/>
    <x v="0"/>
    <x v="1"/>
    <x v="3"/>
    <x v="1"/>
    <x v="0"/>
    <n v="0"/>
    <x v="0"/>
    <n v="0"/>
    <n v="0"/>
  </r>
  <r>
    <s v="L029S017"/>
    <x v="28"/>
    <x v="2"/>
    <x v="0"/>
    <x v="2"/>
    <x v="2"/>
    <x v="0"/>
    <x v="1"/>
    <n v="0"/>
    <x v="0"/>
    <n v="0"/>
    <n v="0"/>
  </r>
  <r>
    <s v="L029S016"/>
    <x v="28"/>
    <x v="1"/>
    <x v="0"/>
    <x v="1"/>
    <x v="1"/>
    <x v="1"/>
    <x v="1"/>
    <n v="0"/>
    <x v="0"/>
    <n v="0"/>
    <n v="0"/>
  </r>
  <r>
    <s v="L029S008"/>
    <x v="28"/>
    <x v="5"/>
    <x v="2"/>
    <x v="0"/>
    <x v="1"/>
    <x v="0"/>
    <x v="0"/>
    <n v="0"/>
    <x v="0"/>
    <n v="0"/>
    <n v="0"/>
  </r>
  <r>
    <s v="L029S020"/>
    <x v="28"/>
    <x v="3"/>
    <x v="0"/>
    <x v="3"/>
    <x v="3"/>
    <x v="1"/>
    <x v="0"/>
    <n v="0"/>
    <x v="0"/>
    <n v="0"/>
    <n v="0"/>
  </r>
  <r>
    <s v="L030S014"/>
    <x v="29"/>
    <x v="17"/>
    <x v="0"/>
    <x v="3"/>
    <x v="1"/>
    <x v="2"/>
    <x v="0"/>
    <n v="20"/>
    <x v="3"/>
    <n v="1"/>
    <n v="0.4"/>
  </r>
  <r>
    <s v="L030S003"/>
    <x v="29"/>
    <x v="19"/>
    <x v="0"/>
    <x v="1"/>
    <x v="2"/>
    <x v="1"/>
    <x v="1"/>
    <n v="0"/>
    <x v="0"/>
    <n v="0"/>
    <n v="0"/>
  </r>
  <r>
    <s v="L030S006"/>
    <x v="29"/>
    <x v="12"/>
    <x v="0"/>
    <x v="2"/>
    <x v="6"/>
    <x v="2"/>
    <x v="0"/>
    <n v="0"/>
    <x v="0"/>
    <n v="0"/>
    <n v="0"/>
  </r>
  <r>
    <s v="L030S001"/>
    <x v="29"/>
    <x v="14"/>
    <x v="0"/>
    <x v="0"/>
    <x v="1"/>
    <x v="2"/>
    <x v="0"/>
    <n v="0"/>
    <x v="0"/>
    <n v="0"/>
    <n v="0"/>
  </r>
  <r>
    <s v="L030S017"/>
    <x v="29"/>
    <x v="2"/>
    <x v="0"/>
    <x v="2"/>
    <x v="2"/>
    <x v="0"/>
    <x v="1"/>
    <n v="15"/>
    <x v="8"/>
    <n v="0.75"/>
    <n v="0.30000000000000004"/>
  </r>
  <r>
    <s v="L030S010"/>
    <x v="29"/>
    <x v="7"/>
    <x v="0"/>
    <x v="3"/>
    <x v="6"/>
    <x v="2"/>
    <x v="1"/>
    <n v="0"/>
    <x v="0"/>
    <n v="0"/>
    <n v="0"/>
  </r>
  <r>
    <s v="L030S009"/>
    <x v="29"/>
    <x v="16"/>
    <x v="1"/>
    <x v="2"/>
    <x v="6"/>
    <x v="1"/>
    <x v="1"/>
    <n v="0"/>
    <x v="0"/>
    <n v="0"/>
    <n v="0"/>
  </r>
  <r>
    <s v="L030S013"/>
    <x v="29"/>
    <x v="15"/>
    <x v="2"/>
    <x v="1"/>
    <x v="4"/>
    <x v="1"/>
    <x v="1"/>
    <n v="0"/>
    <x v="0"/>
    <n v="0"/>
    <n v="0"/>
  </r>
  <r>
    <s v="L030S002"/>
    <x v="29"/>
    <x v="4"/>
    <x v="0"/>
    <x v="0"/>
    <x v="4"/>
    <x v="0"/>
    <x v="1"/>
    <n v="10"/>
    <x v="2"/>
    <n v="0.5"/>
    <n v="0.2"/>
  </r>
  <r>
    <s v="L030S020"/>
    <x v="29"/>
    <x v="3"/>
    <x v="0"/>
    <x v="3"/>
    <x v="3"/>
    <x v="1"/>
    <x v="0"/>
    <n v="0"/>
    <x v="0"/>
    <n v="0"/>
    <n v="0"/>
  </r>
  <r>
    <s v="L030S012"/>
    <x v="29"/>
    <x v="6"/>
    <x v="1"/>
    <x v="3"/>
    <x v="5"/>
    <x v="1"/>
    <x v="1"/>
    <n v="0"/>
    <x v="0"/>
    <n v="0"/>
    <n v="0"/>
  </r>
  <r>
    <s v="L030S018"/>
    <x v="29"/>
    <x v="0"/>
    <x v="0"/>
    <x v="0"/>
    <x v="0"/>
    <x v="0"/>
    <x v="0"/>
    <n v="0"/>
    <x v="0"/>
    <n v="0"/>
    <n v="0"/>
  </r>
  <r>
    <s v="L030S011"/>
    <x v="29"/>
    <x v="11"/>
    <x v="2"/>
    <x v="1"/>
    <x v="3"/>
    <x v="2"/>
    <x v="0"/>
    <n v="14"/>
    <x v="12"/>
    <n v="0.7"/>
    <n v="0.27999999999999997"/>
  </r>
  <r>
    <s v="L031S019"/>
    <x v="30"/>
    <x v="10"/>
    <x v="0"/>
    <x v="0"/>
    <x v="6"/>
    <x v="1"/>
    <x v="1"/>
    <n v="9"/>
    <x v="17"/>
    <n v="0.45"/>
    <n v="9.0000000000000011E-2"/>
  </r>
  <r>
    <s v="L031S007"/>
    <x v="30"/>
    <x v="8"/>
    <x v="0"/>
    <x v="2"/>
    <x v="5"/>
    <x v="0"/>
    <x v="1"/>
    <n v="0"/>
    <x v="0"/>
    <n v="0"/>
    <n v="0"/>
  </r>
  <r>
    <s v="L031S015"/>
    <x v="30"/>
    <x v="13"/>
    <x v="0"/>
    <x v="3"/>
    <x v="3"/>
    <x v="0"/>
    <x v="1"/>
    <n v="0"/>
    <x v="0"/>
    <n v="0"/>
    <n v="0"/>
  </r>
  <r>
    <s v="L031S002"/>
    <x v="30"/>
    <x v="4"/>
    <x v="0"/>
    <x v="0"/>
    <x v="4"/>
    <x v="0"/>
    <x v="1"/>
    <n v="14"/>
    <x v="12"/>
    <n v="0.7"/>
    <n v="0.27999999999999997"/>
  </r>
  <r>
    <s v="L031S020"/>
    <x v="30"/>
    <x v="3"/>
    <x v="2"/>
    <x v="3"/>
    <x v="3"/>
    <x v="1"/>
    <x v="0"/>
    <n v="4"/>
    <x v="9"/>
    <n v="0.2"/>
    <n v="4.0000000000000008E-2"/>
  </r>
  <r>
    <s v="L031S006"/>
    <x v="30"/>
    <x v="12"/>
    <x v="0"/>
    <x v="2"/>
    <x v="6"/>
    <x v="2"/>
    <x v="0"/>
    <n v="0"/>
    <x v="0"/>
    <n v="0"/>
    <n v="0"/>
  </r>
  <r>
    <s v="L031S005"/>
    <x v="30"/>
    <x v="9"/>
    <x v="0"/>
    <x v="1"/>
    <x v="3"/>
    <x v="1"/>
    <x v="0"/>
    <n v="0"/>
    <x v="0"/>
    <n v="0"/>
    <n v="0"/>
  </r>
  <r>
    <s v="L032S018"/>
    <x v="31"/>
    <x v="0"/>
    <x v="0"/>
    <x v="0"/>
    <x v="0"/>
    <x v="0"/>
    <x v="0"/>
    <n v="0"/>
    <x v="0"/>
    <n v="0"/>
    <n v="0"/>
  </r>
  <r>
    <s v="L032S013"/>
    <x v="31"/>
    <x v="15"/>
    <x v="2"/>
    <x v="1"/>
    <x v="4"/>
    <x v="1"/>
    <x v="1"/>
    <n v="12"/>
    <x v="7"/>
    <n v="0.6"/>
    <n v="0.12"/>
  </r>
  <r>
    <s v="L032S006"/>
    <x v="31"/>
    <x v="12"/>
    <x v="0"/>
    <x v="2"/>
    <x v="6"/>
    <x v="2"/>
    <x v="0"/>
    <n v="8"/>
    <x v="13"/>
    <n v="0.4"/>
    <n v="0.16000000000000003"/>
  </r>
  <r>
    <s v="L032S005"/>
    <x v="31"/>
    <x v="9"/>
    <x v="1"/>
    <x v="1"/>
    <x v="3"/>
    <x v="1"/>
    <x v="0"/>
    <n v="17"/>
    <x v="7"/>
    <n v="0.6"/>
    <n v="0.12"/>
  </r>
  <r>
    <s v="L032S014"/>
    <x v="31"/>
    <x v="17"/>
    <x v="0"/>
    <x v="3"/>
    <x v="1"/>
    <x v="2"/>
    <x v="0"/>
    <n v="4"/>
    <x v="9"/>
    <n v="0.2"/>
    <n v="8.0000000000000016E-2"/>
  </r>
  <r>
    <s v="L032S008"/>
    <x v="31"/>
    <x v="5"/>
    <x v="0"/>
    <x v="0"/>
    <x v="1"/>
    <x v="0"/>
    <x v="0"/>
    <n v="6"/>
    <x v="11"/>
    <n v="0.3"/>
    <n v="0.12"/>
  </r>
  <r>
    <s v="L032S001"/>
    <x v="31"/>
    <x v="14"/>
    <x v="2"/>
    <x v="0"/>
    <x v="1"/>
    <x v="2"/>
    <x v="0"/>
    <n v="0"/>
    <x v="0"/>
    <n v="0"/>
    <n v="0"/>
  </r>
  <r>
    <s v="L032S015"/>
    <x v="31"/>
    <x v="13"/>
    <x v="0"/>
    <x v="3"/>
    <x v="3"/>
    <x v="0"/>
    <x v="1"/>
    <n v="18"/>
    <x v="15"/>
    <n v="0.9"/>
    <n v="0.36000000000000004"/>
  </r>
  <r>
    <s v="L033S001"/>
    <x v="32"/>
    <x v="14"/>
    <x v="0"/>
    <x v="0"/>
    <x v="1"/>
    <x v="2"/>
    <x v="0"/>
    <n v="0"/>
    <x v="0"/>
    <n v="0"/>
    <n v="0"/>
  </r>
  <r>
    <s v="L033S012"/>
    <x v="32"/>
    <x v="6"/>
    <x v="0"/>
    <x v="3"/>
    <x v="5"/>
    <x v="1"/>
    <x v="1"/>
    <n v="0"/>
    <x v="0"/>
    <n v="0"/>
    <n v="0"/>
  </r>
  <r>
    <s v="L033S011"/>
    <x v="32"/>
    <x v="11"/>
    <x v="0"/>
    <x v="1"/>
    <x v="3"/>
    <x v="2"/>
    <x v="0"/>
    <n v="0"/>
    <x v="0"/>
    <n v="0"/>
    <n v="0"/>
  </r>
  <r>
    <s v="L033S016"/>
    <x v="32"/>
    <x v="1"/>
    <x v="1"/>
    <x v="1"/>
    <x v="1"/>
    <x v="1"/>
    <x v="1"/>
    <n v="14"/>
    <x v="17"/>
    <n v="0.45"/>
    <n v="9.0000000000000011E-2"/>
  </r>
  <r>
    <s v="L033S018"/>
    <x v="32"/>
    <x v="0"/>
    <x v="0"/>
    <x v="0"/>
    <x v="0"/>
    <x v="0"/>
    <x v="0"/>
    <n v="0"/>
    <x v="0"/>
    <n v="0"/>
    <n v="0"/>
  </r>
  <r>
    <s v="L033S009"/>
    <x v="32"/>
    <x v="16"/>
    <x v="1"/>
    <x v="2"/>
    <x v="6"/>
    <x v="1"/>
    <x v="1"/>
    <n v="0"/>
    <x v="0"/>
    <n v="0"/>
    <n v="0"/>
  </r>
  <r>
    <s v="L034S010"/>
    <x v="33"/>
    <x v="7"/>
    <x v="1"/>
    <x v="3"/>
    <x v="6"/>
    <x v="2"/>
    <x v="1"/>
    <n v="4"/>
    <x v="18"/>
    <n v="-0.05"/>
    <n v="-2.0000000000000004E-2"/>
  </r>
  <r>
    <s v="L034S013"/>
    <x v="33"/>
    <x v="15"/>
    <x v="0"/>
    <x v="1"/>
    <x v="4"/>
    <x v="1"/>
    <x v="1"/>
    <n v="8"/>
    <x v="13"/>
    <n v="0.4"/>
    <n v="8.0000000000000016E-2"/>
  </r>
  <r>
    <s v="L034S018"/>
    <x v="33"/>
    <x v="0"/>
    <x v="0"/>
    <x v="0"/>
    <x v="0"/>
    <x v="0"/>
    <x v="0"/>
    <n v="18"/>
    <x v="15"/>
    <n v="0.9"/>
    <n v="0.36000000000000004"/>
  </r>
  <r>
    <s v="L034S015"/>
    <x v="33"/>
    <x v="13"/>
    <x v="2"/>
    <x v="3"/>
    <x v="3"/>
    <x v="0"/>
    <x v="1"/>
    <n v="17"/>
    <x v="4"/>
    <n v="0.85"/>
    <n v="0.34"/>
  </r>
  <r>
    <s v="L034S005"/>
    <x v="33"/>
    <x v="9"/>
    <x v="0"/>
    <x v="1"/>
    <x v="3"/>
    <x v="1"/>
    <x v="0"/>
    <n v="0"/>
    <x v="0"/>
    <n v="0"/>
    <n v="0"/>
  </r>
  <r>
    <s v="L034S016"/>
    <x v="33"/>
    <x v="1"/>
    <x v="0"/>
    <x v="1"/>
    <x v="1"/>
    <x v="1"/>
    <x v="1"/>
    <n v="11"/>
    <x v="1"/>
    <n v="0.55000000000000004"/>
    <n v="0.11000000000000001"/>
  </r>
  <r>
    <s v="L034S011"/>
    <x v="33"/>
    <x v="11"/>
    <x v="0"/>
    <x v="1"/>
    <x v="3"/>
    <x v="2"/>
    <x v="0"/>
    <n v="0"/>
    <x v="0"/>
    <n v="0"/>
    <n v="0"/>
  </r>
  <r>
    <s v="L034S003"/>
    <x v="33"/>
    <x v="19"/>
    <x v="0"/>
    <x v="1"/>
    <x v="2"/>
    <x v="1"/>
    <x v="1"/>
    <n v="0"/>
    <x v="0"/>
    <n v="0"/>
    <n v="0"/>
  </r>
  <r>
    <s v="L034S019"/>
    <x v="33"/>
    <x v="10"/>
    <x v="0"/>
    <x v="0"/>
    <x v="6"/>
    <x v="1"/>
    <x v="1"/>
    <n v="0"/>
    <x v="0"/>
    <n v="0"/>
    <n v="0"/>
  </r>
  <r>
    <s v="L034S020"/>
    <x v="33"/>
    <x v="3"/>
    <x v="0"/>
    <x v="3"/>
    <x v="3"/>
    <x v="1"/>
    <x v="0"/>
    <n v="20"/>
    <x v="3"/>
    <n v="1"/>
    <n v="0.2"/>
  </r>
  <r>
    <s v="L034S004"/>
    <x v="33"/>
    <x v="18"/>
    <x v="0"/>
    <x v="3"/>
    <x v="3"/>
    <x v="1"/>
    <x v="0"/>
    <n v="0"/>
    <x v="0"/>
    <n v="0"/>
    <n v="0"/>
  </r>
  <r>
    <s v="L034S007"/>
    <x v="33"/>
    <x v="8"/>
    <x v="0"/>
    <x v="2"/>
    <x v="5"/>
    <x v="0"/>
    <x v="1"/>
    <n v="0"/>
    <x v="0"/>
    <n v="0"/>
    <n v="0"/>
  </r>
  <r>
    <s v="L034S014"/>
    <x v="33"/>
    <x v="17"/>
    <x v="0"/>
    <x v="3"/>
    <x v="1"/>
    <x v="2"/>
    <x v="0"/>
    <n v="0"/>
    <x v="0"/>
    <n v="0"/>
    <n v="0"/>
  </r>
  <r>
    <s v="L035S011"/>
    <x v="34"/>
    <x v="11"/>
    <x v="1"/>
    <x v="1"/>
    <x v="3"/>
    <x v="2"/>
    <x v="0"/>
    <n v="0"/>
    <x v="0"/>
    <n v="0"/>
    <n v="0"/>
  </r>
  <r>
    <s v="L035S005"/>
    <x v="34"/>
    <x v="9"/>
    <x v="0"/>
    <x v="1"/>
    <x v="3"/>
    <x v="1"/>
    <x v="0"/>
    <n v="0"/>
    <x v="0"/>
    <n v="0"/>
    <n v="0"/>
  </r>
  <r>
    <s v="L035S020"/>
    <x v="34"/>
    <x v="3"/>
    <x v="0"/>
    <x v="3"/>
    <x v="3"/>
    <x v="1"/>
    <x v="0"/>
    <n v="0"/>
    <x v="0"/>
    <n v="0"/>
    <n v="0"/>
  </r>
  <r>
    <s v="L035S008"/>
    <x v="34"/>
    <x v="5"/>
    <x v="1"/>
    <x v="0"/>
    <x v="1"/>
    <x v="0"/>
    <x v="0"/>
    <n v="0"/>
    <x v="0"/>
    <n v="0"/>
    <n v="0"/>
  </r>
  <r>
    <s v="L035S001"/>
    <x v="34"/>
    <x v="14"/>
    <x v="0"/>
    <x v="0"/>
    <x v="1"/>
    <x v="2"/>
    <x v="0"/>
    <n v="9"/>
    <x v="17"/>
    <n v="0.45"/>
    <n v="0.18000000000000002"/>
  </r>
  <r>
    <s v="L035S006"/>
    <x v="34"/>
    <x v="12"/>
    <x v="2"/>
    <x v="2"/>
    <x v="6"/>
    <x v="2"/>
    <x v="0"/>
    <n v="0"/>
    <x v="0"/>
    <n v="0"/>
    <n v="0"/>
  </r>
  <r>
    <s v="L035S007"/>
    <x v="34"/>
    <x v="8"/>
    <x v="0"/>
    <x v="2"/>
    <x v="5"/>
    <x v="0"/>
    <x v="1"/>
    <n v="12"/>
    <x v="7"/>
    <n v="0.6"/>
    <n v="0.24"/>
  </r>
  <r>
    <s v="L035S018"/>
    <x v="34"/>
    <x v="0"/>
    <x v="1"/>
    <x v="0"/>
    <x v="0"/>
    <x v="0"/>
    <x v="0"/>
    <n v="5"/>
    <x v="0"/>
    <n v="0"/>
    <n v="0"/>
  </r>
  <r>
    <s v="L035S015"/>
    <x v="34"/>
    <x v="13"/>
    <x v="0"/>
    <x v="3"/>
    <x v="3"/>
    <x v="0"/>
    <x v="1"/>
    <n v="0"/>
    <x v="0"/>
    <n v="0"/>
    <n v="0"/>
  </r>
  <r>
    <s v="L035S010"/>
    <x v="34"/>
    <x v="7"/>
    <x v="0"/>
    <x v="3"/>
    <x v="6"/>
    <x v="2"/>
    <x v="1"/>
    <n v="0"/>
    <x v="0"/>
    <n v="0"/>
    <n v="0"/>
  </r>
  <r>
    <s v="L035S013"/>
    <x v="34"/>
    <x v="15"/>
    <x v="1"/>
    <x v="1"/>
    <x v="4"/>
    <x v="1"/>
    <x v="1"/>
    <n v="0"/>
    <x v="0"/>
    <n v="0"/>
    <n v="0"/>
  </r>
  <r>
    <s v="L036S003"/>
    <x v="35"/>
    <x v="19"/>
    <x v="0"/>
    <x v="1"/>
    <x v="2"/>
    <x v="1"/>
    <x v="1"/>
    <n v="17"/>
    <x v="4"/>
    <n v="0.85"/>
    <n v="0.17"/>
  </r>
  <r>
    <s v="L036S016"/>
    <x v="35"/>
    <x v="1"/>
    <x v="1"/>
    <x v="1"/>
    <x v="1"/>
    <x v="1"/>
    <x v="1"/>
    <n v="0"/>
    <x v="0"/>
    <n v="0"/>
    <n v="0"/>
  </r>
  <r>
    <s v="L036S020"/>
    <x v="35"/>
    <x v="3"/>
    <x v="2"/>
    <x v="3"/>
    <x v="3"/>
    <x v="1"/>
    <x v="0"/>
    <n v="0"/>
    <x v="0"/>
    <n v="0"/>
    <n v="0"/>
  </r>
  <r>
    <s v="L036S005"/>
    <x v="35"/>
    <x v="9"/>
    <x v="0"/>
    <x v="1"/>
    <x v="3"/>
    <x v="1"/>
    <x v="0"/>
    <n v="11"/>
    <x v="1"/>
    <n v="0.55000000000000004"/>
    <n v="0.11000000000000001"/>
  </r>
  <r>
    <s v="L036S006"/>
    <x v="35"/>
    <x v="12"/>
    <x v="0"/>
    <x v="2"/>
    <x v="6"/>
    <x v="2"/>
    <x v="0"/>
    <n v="0"/>
    <x v="0"/>
    <n v="0"/>
    <n v="0"/>
  </r>
  <r>
    <s v="L036S017"/>
    <x v="35"/>
    <x v="2"/>
    <x v="1"/>
    <x v="2"/>
    <x v="2"/>
    <x v="0"/>
    <x v="1"/>
    <n v="0"/>
    <x v="0"/>
    <n v="0"/>
    <n v="0"/>
  </r>
  <r>
    <s v="L036S010"/>
    <x v="35"/>
    <x v="7"/>
    <x v="1"/>
    <x v="3"/>
    <x v="6"/>
    <x v="2"/>
    <x v="1"/>
    <n v="5"/>
    <x v="0"/>
    <n v="0"/>
    <n v="0"/>
  </r>
  <r>
    <s v="L036S007"/>
    <x v="35"/>
    <x v="8"/>
    <x v="2"/>
    <x v="2"/>
    <x v="5"/>
    <x v="0"/>
    <x v="1"/>
    <n v="0"/>
    <x v="0"/>
    <n v="0"/>
    <n v="0"/>
  </r>
  <r>
    <s v="L036S018"/>
    <x v="35"/>
    <x v="0"/>
    <x v="1"/>
    <x v="0"/>
    <x v="0"/>
    <x v="0"/>
    <x v="0"/>
    <n v="10"/>
    <x v="14"/>
    <n v="0.25"/>
    <n v="0.1"/>
  </r>
  <r>
    <s v="L037S009"/>
    <x v="36"/>
    <x v="16"/>
    <x v="0"/>
    <x v="2"/>
    <x v="6"/>
    <x v="1"/>
    <x v="1"/>
    <n v="0"/>
    <x v="0"/>
    <n v="0"/>
    <n v="0"/>
  </r>
  <r>
    <s v="L037S017"/>
    <x v="36"/>
    <x v="2"/>
    <x v="1"/>
    <x v="2"/>
    <x v="2"/>
    <x v="0"/>
    <x v="1"/>
    <n v="20"/>
    <x v="8"/>
    <n v="0.75"/>
    <n v="0.30000000000000004"/>
  </r>
  <r>
    <s v="L037S004"/>
    <x v="36"/>
    <x v="18"/>
    <x v="0"/>
    <x v="3"/>
    <x v="3"/>
    <x v="1"/>
    <x v="0"/>
    <n v="0"/>
    <x v="0"/>
    <n v="0"/>
    <n v="0"/>
  </r>
  <r>
    <s v="L037S013"/>
    <x v="36"/>
    <x v="15"/>
    <x v="2"/>
    <x v="1"/>
    <x v="4"/>
    <x v="1"/>
    <x v="1"/>
    <n v="0"/>
    <x v="0"/>
    <n v="0"/>
    <n v="0"/>
  </r>
  <r>
    <s v="L037S020"/>
    <x v="36"/>
    <x v="3"/>
    <x v="0"/>
    <x v="3"/>
    <x v="3"/>
    <x v="1"/>
    <x v="0"/>
    <n v="6"/>
    <x v="11"/>
    <n v="0.3"/>
    <n v="0.06"/>
  </r>
  <r>
    <s v="L037S018"/>
    <x v="36"/>
    <x v="0"/>
    <x v="0"/>
    <x v="0"/>
    <x v="0"/>
    <x v="0"/>
    <x v="0"/>
    <n v="0"/>
    <x v="0"/>
    <n v="0"/>
    <n v="0"/>
  </r>
  <r>
    <s v="L037S008"/>
    <x v="36"/>
    <x v="5"/>
    <x v="0"/>
    <x v="0"/>
    <x v="1"/>
    <x v="0"/>
    <x v="0"/>
    <n v="0"/>
    <x v="0"/>
    <n v="0"/>
    <n v="0"/>
  </r>
  <r>
    <s v="L037S019"/>
    <x v="36"/>
    <x v="10"/>
    <x v="0"/>
    <x v="0"/>
    <x v="6"/>
    <x v="1"/>
    <x v="1"/>
    <n v="0"/>
    <x v="0"/>
    <n v="0"/>
    <n v="0"/>
  </r>
  <r>
    <s v="L037S007"/>
    <x v="36"/>
    <x v="8"/>
    <x v="1"/>
    <x v="2"/>
    <x v="5"/>
    <x v="0"/>
    <x v="1"/>
    <n v="0"/>
    <x v="0"/>
    <n v="0"/>
    <n v="0"/>
  </r>
  <r>
    <s v="L037S014"/>
    <x v="36"/>
    <x v="17"/>
    <x v="2"/>
    <x v="3"/>
    <x v="1"/>
    <x v="2"/>
    <x v="0"/>
    <n v="0"/>
    <x v="0"/>
    <n v="0"/>
    <n v="0"/>
  </r>
  <r>
    <s v="L038S013"/>
    <x v="37"/>
    <x v="15"/>
    <x v="0"/>
    <x v="1"/>
    <x v="4"/>
    <x v="1"/>
    <x v="1"/>
    <n v="18"/>
    <x v="15"/>
    <n v="0.9"/>
    <n v="0.18000000000000002"/>
  </r>
  <r>
    <s v="L038S020"/>
    <x v="37"/>
    <x v="3"/>
    <x v="1"/>
    <x v="3"/>
    <x v="3"/>
    <x v="1"/>
    <x v="0"/>
    <n v="16"/>
    <x v="1"/>
    <n v="0.55000000000000004"/>
    <n v="0.11000000000000001"/>
  </r>
  <r>
    <s v="L038S015"/>
    <x v="37"/>
    <x v="13"/>
    <x v="1"/>
    <x v="3"/>
    <x v="3"/>
    <x v="0"/>
    <x v="1"/>
    <n v="0"/>
    <x v="0"/>
    <n v="0"/>
    <n v="0"/>
  </r>
  <r>
    <s v="L038S012"/>
    <x v="37"/>
    <x v="6"/>
    <x v="0"/>
    <x v="3"/>
    <x v="5"/>
    <x v="1"/>
    <x v="1"/>
    <n v="11"/>
    <x v="1"/>
    <n v="0.55000000000000004"/>
    <n v="0.11000000000000001"/>
  </r>
  <r>
    <s v="L038S007"/>
    <x v="37"/>
    <x v="8"/>
    <x v="1"/>
    <x v="2"/>
    <x v="5"/>
    <x v="0"/>
    <x v="1"/>
    <n v="9"/>
    <x v="9"/>
    <n v="0.2"/>
    <n v="8.0000000000000016E-2"/>
  </r>
  <r>
    <s v="L038S006"/>
    <x v="37"/>
    <x v="12"/>
    <x v="2"/>
    <x v="2"/>
    <x v="6"/>
    <x v="2"/>
    <x v="0"/>
    <n v="6"/>
    <x v="11"/>
    <n v="0.3"/>
    <n v="0.12"/>
  </r>
  <r>
    <s v="L038S018"/>
    <x v="37"/>
    <x v="0"/>
    <x v="1"/>
    <x v="0"/>
    <x v="0"/>
    <x v="0"/>
    <x v="0"/>
    <n v="0"/>
    <x v="0"/>
    <n v="0"/>
    <n v="0"/>
  </r>
  <r>
    <s v="L038S017"/>
    <x v="37"/>
    <x v="2"/>
    <x v="1"/>
    <x v="2"/>
    <x v="2"/>
    <x v="0"/>
    <x v="1"/>
    <n v="0"/>
    <x v="0"/>
    <n v="0"/>
    <n v="0"/>
  </r>
  <r>
    <s v="L038S014"/>
    <x v="37"/>
    <x v="17"/>
    <x v="1"/>
    <x v="3"/>
    <x v="1"/>
    <x v="2"/>
    <x v="0"/>
    <n v="15"/>
    <x v="2"/>
    <n v="0.5"/>
    <n v="0.2"/>
  </r>
  <r>
    <s v="L038S001"/>
    <x v="37"/>
    <x v="14"/>
    <x v="0"/>
    <x v="0"/>
    <x v="1"/>
    <x v="2"/>
    <x v="0"/>
    <n v="8"/>
    <x v="13"/>
    <n v="0.4"/>
    <n v="0.16000000000000003"/>
  </r>
  <r>
    <s v="L038S011"/>
    <x v="37"/>
    <x v="11"/>
    <x v="0"/>
    <x v="1"/>
    <x v="3"/>
    <x v="2"/>
    <x v="0"/>
    <n v="0"/>
    <x v="0"/>
    <n v="0"/>
    <n v="0"/>
  </r>
  <r>
    <s v="L038S009"/>
    <x v="37"/>
    <x v="16"/>
    <x v="0"/>
    <x v="2"/>
    <x v="6"/>
    <x v="1"/>
    <x v="1"/>
    <n v="12"/>
    <x v="7"/>
    <n v="0.6"/>
    <n v="0.12"/>
  </r>
  <r>
    <s v="L038S016"/>
    <x v="37"/>
    <x v="1"/>
    <x v="0"/>
    <x v="1"/>
    <x v="1"/>
    <x v="1"/>
    <x v="1"/>
    <n v="9"/>
    <x v="17"/>
    <n v="0.45"/>
    <n v="9.0000000000000011E-2"/>
  </r>
  <r>
    <s v="L038S003"/>
    <x v="37"/>
    <x v="19"/>
    <x v="0"/>
    <x v="1"/>
    <x v="2"/>
    <x v="1"/>
    <x v="1"/>
    <n v="19"/>
    <x v="19"/>
    <n v="0.95"/>
    <n v="0.19"/>
  </r>
  <r>
    <s v="L039S019"/>
    <x v="38"/>
    <x v="10"/>
    <x v="1"/>
    <x v="0"/>
    <x v="6"/>
    <x v="1"/>
    <x v="1"/>
    <n v="0"/>
    <x v="0"/>
    <n v="0"/>
    <n v="0"/>
  </r>
  <r>
    <s v="L039S009"/>
    <x v="38"/>
    <x v="16"/>
    <x v="1"/>
    <x v="2"/>
    <x v="6"/>
    <x v="1"/>
    <x v="1"/>
    <n v="16"/>
    <x v="1"/>
    <n v="0.55000000000000004"/>
    <n v="0.11000000000000001"/>
  </r>
  <r>
    <s v="L039S018"/>
    <x v="38"/>
    <x v="0"/>
    <x v="0"/>
    <x v="0"/>
    <x v="0"/>
    <x v="0"/>
    <x v="0"/>
    <n v="0"/>
    <x v="0"/>
    <n v="0"/>
    <n v="0"/>
  </r>
  <r>
    <s v="L039S012"/>
    <x v="38"/>
    <x v="6"/>
    <x v="1"/>
    <x v="3"/>
    <x v="5"/>
    <x v="1"/>
    <x v="1"/>
    <n v="0"/>
    <x v="0"/>
    <n v="0"/>
    <n v="0"/>
  </r>
  <r>
    <s v="L039S011"/>
    <x v="38"/>
    <x v="11"/>
    <x v="1"/>
    <x v="1"/>
    <x v="3"/>
    <x v="2"/>
    <x v="0"/>
    <n v="0"/>
    <x v="0"/>
    <n v="0"/>
    <n v="0"/>
  </r>
  <r>
    <s v="L039S006"/>
    <x v="38"/>
    <x v="12"/>
    <x v="0"/>
    <x v="2"/>
    <x v="6"/>
    <x v="2"/>
    <x v="0"/>
    <n v="11"/>
    <x v="1"/>
    <n v="0.55000000000000004"/>
    <n v="0.22000000000000003"/>
  </r>
  <r>
    <s v="L040S005"/>
    <x v="39"/>
    <x v="9"/>
    <x v="0"/>
    <x v="1"/>
    <x v="3"/>
    <x v="1"/>
    <x v="0"/>
    <n v="0"/>
    <x v="0"/>
    <n v="0"/>
    <n v="0"/>
  </r>
  <r>
    <s v="L040S011"/>
    <x v="39"/>
    <x v="11"/>
    <x v="0"/>
    <x v="1"/>
    <x v="3"/>
    <x v="2"/>
    <x v="0"/>
    <n v="10"/>
    <x v="2"/>
    <n v="0.5"/>
    <n v="0.2"/>
  </r>
  <r>
    <s v="L040S010"/>
    <x v="39"/>
    <x v="7"/>
    <x v="0"/>
    <x v="3"/>
    <x v="6"/>
    <x v="2"/>
    <x v="1"/>
    <n v="18"/>
    <x v="15"/>
    <n v="0.9"/>
    <n v="0.36000000000000004"/>
  </r>
  <r>
    <s v="L040S017"/>
    <x v="39"/>
    <x v="2"/>
    <x v="0"/>
    <x v="2"/>
    <x v="2"/>
    <x v="0"/>
    <x v="1"/>
    <n v="10"/>
    <x v="2"/>
    <n v="0.5"/>
    <n v="0.2"/>
  </r>
  <r>
    <s v="L040S004"/>
    <x v="39"/>
    <x v="18"/>
    <x v="1"/>
    <x v="3"/>
    <x v="3"/>
    <x v="1"/>
    <x v="0"/>
    <n v="14"/>
    <x v="17"/>
    <n v="0.45"/>
    <n v="9.0000000000000011E-2"/>
  </r>
  <r>
    <s v="L040S008"/>
    <x v="39"/>
    <x v="5"/>
    <x v="0"/>
    <x v="0"/>
    <x v="1"/>
    <x v="0"/>
    <x v="0"/>
    <n v="7"/>
    <x v="6"/>
    <n v="0.35"/>
    <n v="0.13999999999999999"/>
  </r>
  <r>
    <s v="L040S012"/>
    <x v="39"/>
    <x v="6"/>
    <x v="0"/>
    <x v="3"/>
    <x v="5"/>
    <x v="1"/>
    <x v="1"/>
    <n v="15"/>
    <x v="8"/>
    <n v="0.75"/>
    <n v="0.15000000000000002"/>
  </r>
  <r>
    <s v="L040S003"/>
    <x v="39"/>
    <x v="19"/>
    <x v="0"/>
    <x v="1"/>
    <x v="2"/>
    <x v="1"/>
    <x v="1"/>
    <n v="16"/>
    <x v="10"/>
    <n v="0.8"/>
    <n v="0.16000000000000003"/>
  </r>
  <r>
    <s v="L040S007"/>
    <x v="39"/>
    <x v="8"/>
    <x v="1"/>
    <x v="2"/>
    <x v="5"/>
    <x v="0"/>
    <x v="1"/>
    <n v="0"/>
    <x v="0"/>
    <n v="0"/>
    <n v="0"/>
  </r>
  <r>
    <s v="L040S001"/>
    <x v="39"/>
    <x v="14"/>
    <x v="0"/>
    <x v="0"/>
    <x v="1"/>
    <x v="2"/>
    <x v="0"/>
    <n v="10"/>
    <x v="2"/>
    <n v="0.5"/>
    <n v="0.2"/>
  </r>
  <r>
    <s v="L041S013"/>
    <x v="40"/>
    <x v="15"/>
    <x v="0"/>
    <x v="1"/>
    <x v="4"/>
    <x v="1"/>
    <x v="1"/>
    <n v="16"/>
    <x v="10"/>
    <n v="0.8"/>
    <n v="0.16000000000000003"/>
  </r>
  <r>
    <s v="L041S019"/>
    <x v="40"/>
    <x v="10"/>
    <x v="0"/>
    <x v="0"/>
    <x v="6"/>
    <x v="1"/>
    <x v="1"/>
    <n v="12"/>
    <x v="7"/>
    <n v="0.6"/>
    <n v="0.12"/>
  </r>
  <r>
    <s v="L041S017"/>
    <x v="40"/>
    <x v="2"/>
    <x v="0"/>
    <x v="2"/>
    <x v="2"/>
    <x v="0"/>
    <x v="1"/>
    <n v="0"/>
    <x v="0"/>
    <n v="0"/>
    <n v="0"/>
  </r>
  <r>
    <s v="L041S020"/>
    <x v="40"/>
    <x v="3"/>
    <x v="0"/>
    <x v="3"/>
    <x v="3"/>
    <x v="1"/>
    <x v="0"/>
    <n v="17"/>
    <x v="4"/>
    <n v="0.85"/>
    <n v="0.17"/>
  </r>
  <r>
    <s v="L041S003"/>
    <x v="40"/>
    <x v="19"/>
    <x v="0"/>
    <x v="1"/>
    <x v="2"/>
    <x v="1"/>
    <x v="1"/>
    <n v="10"/>
    <x v="2"/>
    <n v="0.5"/>
    <n v="0.1"/>
  </r>
  <r>
    <s v="L041S011"/>
    <x v="40"/>
    <x v="11"/>
    <x v="1"/>
    <x v="1"/>
    <x v="3"/>
    <x v="2"/>
    <x v="0"/>
    <n v="0"/>
    <x v="0"/>
    <n v="0"/>
    <n v="0"/>
  </r>
  <r>
    <s v="L041S015"/>
    <x v="40"/>
    <x v="13"/>
    <x v="0"/>
    <x v="3"/>
    <x v="3"/>
    <x v="0"/>
    <x v="1"/>
    <n v="14"/>
    <x v="12"/>
    <n v="0.7"/>
    <n v="0.27999999999999997"/>
  </r>
  <r>
    <s v="L041S016"/>
    <x v="40"/>
    <x v="1"/>
    <x v="0"/>
    <x v="1"/>
    <x v="1"/>
    <x v="1"/>
    <x v="1"/>
    <n v="0"/>
    <x v="0"/>
    <n v="0"/>
    <n v="0"/>
  </r>
  <r>
    <s v="L041S018"/>
    <x v="40"/>
    <x v="0"/>
    <x v="0"/>
    <x v="0"/>
    <x v="0"/>
    <x v="0"/>
    <x v="0"/>
    <n v="0"/>
    <x v="0"/>
    <n v="0"/>
    <n v="0"/>
  </r>
  <r>
    <s v="L041S007"/>
    <x v="40"/>
    <x v="8"/>
    <x v="0"/>
    <x v="2"/>
    <x v="5"/>
    <x v="0"/>
    <x v="1"/>
    <n v="9"/>
    <x v="17"/>
    <n v="0.45"/>
    <n v="0.18000000000000002"/>
  </r>
  <r>
    <s v="L041S001"/>
    <x v="40"/>
    <x v="14"/>
    <x v="2"/>
    <x v="0"/>
    <x v="1"/>
    <x v="2"/>
    <x v="0"/>
    <n v="7"/>
    <x v="6"/>
    <n v="0.35"/>
    <n v="0.13999999999999999"/>
  </r>
  <r>
    <s v="L042S015"/>
    <x v="41"/>
    <x v="13"/>
    <x v="0"/>
    <x v="3"/>
    <x v="3"/>
    <x v="0"/>
    <x v="1"/>
    <n v="13"/>
    <x v="5"/>
    <n v="0.65"/>
    <n v="0.26"/>
  </r>
  <r>
    <s v="L042S006"/>
    <x v="41"/>
    <x v="12"/>
    <x v="0"/>
    <x v="2"/>
    <x v="6"/>
    <x v="2"/>
    <x v="0"/>
    <n v="9"/>
    <x v="17"/>
    <n v="0.45"/>
    <n v="0.18000000000000002"/>
  </r>
  <r>
    <s v="L042S019"/>
    <x v="41"/>
    <x v="10"/>
    <x v="1"/>
    <x v="0"/>
    <x v="6"/>
    <x v="1"/>
    <x v="1"/>
    <n v="13"/>
    <x v="13"/>
    <n v="0.4"/>
    <n v="8.0000000000000016E-2"/>
  </r>
  <r>
    <s v="L042S007"/>
    <x v="41"/>
    <x v="8"/>
    <x v="1"/>
    <x v="2"/>
    <x v="5"/>
    <x v="0"/>
    <x v="1"/>
    <n v="8"/>
    <x v="20"/>
    <n v="0.15"/>
    <n v="0.06"/>
  </r>
  <r>
    <s v="L042S004"/>
    <x v="41"/>
    <x v="18"/>
    <x v="0"/>
    <x v="3"/>
    <x v="3"/>
    <x v="1"/>
    <x v="0"/>
    <n v="5"/>
    <x v="14"/>
    <n v="0.25"/>
    <n v="0.05"/>
  </r>
  <r>
    <s v="L042S013"/>
    <x v="41"/>
    <x v="15"/>
    <x v="0"/>
    <x v="1"/>
    <x v="4"/>
    <x v="1"/>
    <x v="1"/>
    <n v="17"/>
    <x v="4"/>
    <n v="0.85"/>
    <n v="0.17"/>
  </r>
  <r>
    <s v="L042S008"/>
    <x v="41"/>
    <x v="5"/>
    <x v="0"/>
    <x v="0"/>
    <x v="1"/>
    <x v="0"/>
    <x v="0"/>
    <n v="0"/>
    <x v="0"/>
    <n v="0"/>
    <n v="0"/>
  </r>
  <r>
    <s v="L042S001"/>
    <x v="41"/>
    <x v="14"/>
    <x v="0"/>
    <x v="0"/>
    <x v="1"/>
    <x v="2"/>
    <x v="0"/>
    <n v="0"/>
    <x v="0"/>
    <n v="0"/>
    <n v="0"/>
  </r>
  <r>
    <s v="L042S011"/>
    <x v="41"/>
    <x v="11"/>
    <x v="0"/>
    <x v="1"/>
    <x v="3"/>
    <x v="2"/>
    <x v="0"/>
    <n v="0"/>
    <x v="0"/>
    <n v="0"/>
    <n v="0"/>
  </r>
  <r>
    <s v="L042S012"/>
    <x v="41"/>
    <x v="6"/>
    <x v="0"/>
    <x v="3"/>
    <x v="5"/>
    <x v="1"/>
    <x v="1"/>
    <n v="9"/>
    <x v="17"/>
    <n v="0.45"/>
    <n v="9.0000000000000011E-2"/>
  </r>
  <r>
    <s v="L042S020"/>
    <x v="41"/>
    <x v="3"/>
    <x v="1"/>
    <x v="3"/>
    <x v="3"/>
    <x v="1"/>
    <x v="0"/>
    <n v="13"/>
    <x v="13"/>
    <n v="0.4"/>
    <n v="8.0000000000000016E-2"/>
  </r>
  <r>
    <s v="L042S010"/>
    <x v="41"/>
    <x v="7"/>
    <x v="0"/>
    <x v="3"/>
    <x v="6"/>
    <x v="2"/>
    <x v="1"/>
    <n v="0"/>
    <x v="0"/>
    <n v="0"/>
    <n v="0"/>
  </r>
  <r>
    <s v="L042S005"/>
    <x v="41"/>
    <x v="9"/>
    <x v="0"/>
    <x v="1"/>
    <x v="3"/>
    <x v="1"/>
    <x v="0"/>
    <n v="0"/>
    <x v="0"/>
    <n v="0"/>
    <n v="0"/>
  </r>
  <r>
    <s v="L043S010"/>
    <x v="42"/>
    <x v="7"/>
    <x v="2"/>
    <x v="3"/>
    <x v="6"/>
    <x v="2"/>
    <x v="1"/>
    <n v="9"/>
    <x v="17"/>
    <n v="0.45"/>
    <n v="0.18000000000000002"/>
  </r>
  <r>
    <s v="L043S003"/>
    <x v="42"/>
    <x v="19"/>
    <x v="0"/>
    <x v="1"/>
    <x v="2"/>
    <x v="1"/>
    <x v="1"/>
    <n v="0"/>
    <x v="0"/>
    <n v="0"/>
    <n v="0"/>
  </r>
  <r>
    <s v="L043S013"/>
    <x v="42"/>
    <x v="15"/>
    <x v="0"/>
    <x v="1"/>
    <x v="4"/>
    <x v="1"/>
    <x v="1"/>
    <n v="10"/>
    <x v="2"/>
    <n v="0.5"/>
    <n v="0.1"/>
  </r>
  <r>
    <s v="L043S014"/>
    <x v="42"/>
    <x v="17"/>
    <x v="0"/>
    <x v="3"/>
    <x v="1"/>
    <x v="2"/>
    <x v="0"/>
    <n v="0"/>
    <x v="0"/>
    <n v="0"/>
    <n v="0"/>
  </r>
  <r>
    <s v="L043S011"/>
    <x v="42"/>
    <x v="11"/>
    <x v="0"/>
    <x v="1"/>
    <x v="3"/>
    <x v="2"/>
    <x v="0"/>
    <n v="5"/>
    <x v="14"/>
    <n v="0.25"/>
    <n v="0.1"/>
  </r>
  <r>
    <s v="L043S018"/>
    <x v="42"/>
    <x v="0"/>
    <x v="2"/>
    <x v="0"/>
    <x v="0"/>
    <x v="0"/>
    <x v="0"/>
    <n v="0"/>
    <x v="0"/>
    <n v="0"/>
    <n v="0"/>
  </r>
  <r>
    <s v="L044S017"/>
    <x v="43"/>
    <x v="2"/>
    <x v="0"/>
    <x v="2"/>
    <x v="2"/>
    <x v="0"/>
    <x v="1"/>
    <n v="11"/>
    <x v="1"/>
    <n v="0.55000000000000004"/>
    <n v="0.22000000000000003"/>
  </r>
  <r>
    <s v="L044S009"/>
    <x v="43"/>
    <x v="16"/>
    <x v="1"/>
    <x v="2"/>
    <x v="6"/>
    <x v="1"/>
    <x v="1"/>
    <n v="16"/>
    <x v="1"/>
    <n v="0.55000000000000004"/>
    <n v="0.11000000000000001"/>
  </r>
  <r>
    <s v="L044S002"/>
    <x v="43"/>
    <x v="4"/>
    <x v="0"/>
    <x v="0"/>
    <x v="4"/>
    <x v="0"/>
    <x v="1"/>
    <n v="0"/>
    <x v="0"/>
    <n v="0"/>
    <n v="0"/>
  </r>
  <r>
    <s v="L044S012"/>
    <x v="43"/>
    <x v="6"/>
    <x v="0"/>
    <x v="3"/>
    <x v="5"/>
    <x v="1"/>
    <x v="1"/>
    <n v="0"/>
    <x v="0"/>
    <n v="0"/>
    <n v="0"/>
  </r>
  <r>
    <s v="L044S006"/>
    <x v="43"/>
    <x v="12"/>
    <x v="1"/>
    <x v="2"/>
    <x v="6"/>
    <x v="2"/>
    <x v="0"/>
    <n v="0"/>
    <x v="0"/>
    <n v="0"/>
    <n v="0"/>
  </r>
  <r>
    <s v="L044S008"/>
    <x v="43"/>
    <x v="5"/>
    <x v="0"/>
    <x v="0"/>
    <x v="1"/>
    <x v="0"/>
    <x v="0"/>
    <n v="0"/>
    <x v="0"/>
    <n v="0"/>
    <n v="0"/>
  </r>
  <r>
    <s v="L044S020"/>
    <x v="43"/>
    <x v="3"/>
    <x v="2"/>
    <x v="3"/>
    <x v="3"/>
    <x v="1"/>
    <x v="0"/>
    <n v="13"/>
    <x v="5"/>
    <n v="0.65"/>
    <n v="0.13"/>
  </r>
  <r>
    <s v="L045S001"/>
    <x v="44"/>
    <x v="14"/>
    <x v="0"/>
    <x v="0"/>
    <x v="1"/>
    <x v="2"/>
    <x v="0"/>
    <n v="0"/>
    <x v="0"/>
    <n v="0"/>
    <n v="0"/>
  </r>
  <r>
    <s v="L045S010"/>
    <x v="44"/>
    <x v="7"/>
    <x v="1"/>
    <x v="3"/>
    <x v="6"/>
    <x v="2"/>
    <x v="1"/>
    <n v="0"/>
    <x v="0"/>
    <n v="0"/>
    <n v="0"/>
  </r>
  <r>
    <s v="L045S006"/>
    <x v="44"/>
    <x v="12"/>
    <x v="0"/>
    <x v="2"/>
    <x v="6"/>
    <x v="2"/>
    <x v="0"/>
    <n v="0"/>
    <x v="0"/>
    <n v="0"/>
    <n v="0"/>
  </r>
  <r>
    <s v="L045S014"/>
    <x v="44"/>
    <x v="17"/>
    <x v="0"/>
    <x v="3"/>
    <x v="1"/>
    <x v="2"/>
    <x v="0"/>
    <n v="0"/>
    <x v="0"/>
    <n v="0"/>
    <n v="0"/>
  </r>
  <r>
    <s v="L045S005"/>
    <x v="44"/>
    <x v="9"/>
    <x v="0"/>
    <x v="1"/>
    <x v="3"/>
    <x v="1"/>
    <x v="0"/>
    <n v="0"/>
    <x v="0"/>
    <n v="0"/>
    <n v="0"/>
  </r>
  <r>
    <s v="L046S012"/>
    <x v="45"/>
    <x v="6"/>
    <x v="2"/>
    <x v="3"/>
    <x v="5"/>
    <x v="1"/>
    <x v="1"/>
    <n v="6"/>
    <x v="11"/>
    <n v="0.3"/>
    <n v="0.06"/>
  </r>
  <r>
    <s v="L046S005"/>
    <x v="45"/>
    <x v="9"/>
    <x v="0"/>
    <x v="1"/>
    <x v="3"/>
    <x v="1"/>
    <x v="0"/>
    <n v="0"/>
    <x v="0"/>
    <n v="0"/>
    <n v="0"/>
  </r>
  <r>
    <s v="L046S004"/>
    <x v="45"/>
    <x v="18"/>
    <x v="0"/>
    <x v="3"/>
    <x v="3"/>
    <x v="1"/>
    <x v="0"/>
    <n v="0"/>
    <x v="0"/>
    <n v="0"/>
    <n v="0"/>
  </r>
  <r>
    <s v="L046S016"/>
    <x v="45"/>
    <x v="1"/>
    <x v="1"/>
    <x v="1"/>
    <x v="1"/>
    <x v="1"/>
    <x v="1"/>
    <n v="0"/>
    <x v="0"/>
    <n v="0"/>
    <n v="0"/>
  </r>
  <r>
    <s v="L046S011"/>
    <x v="45"/>
    <x v="11"/>
    <x v="2"/>
    <x v="1"/>
    <x v="3"/>
    <x v="2"/>
    <x v="0"/>
    <n v="14"/>
    <x v="12"/>
    <n v="0.7"/>
    <n v="0.27999999999999997"/>
  </r>
  <r>
    <s v="L046S006"/>
    <x v="45"/>
    <x v="12"/>
    <x v="1"/>
    <x v="2"/>
    <x v="6"/>
    <x v="2"/>
    <x v="0"/>
    <n v="0"/>
    <x v="0"/>
    <n v="0"/>
    <n v="0"/>
  </r>
  <r>
    <s v="L046S001"/>
    <x v="45"/>
    <x v="14"/>
    <x v="0"/>
    <x v="0"/>
    <x v="1"/>
    <x v="2"/>
    <x v="0"/>
    <n v="0"/>
    <x v="0"/>
    <n v="0"/>
    <n v="0"/>
  </r>
  <r>
    <s v="L047S013"/>
    <x v="46"/>
    <x v="15"/>
    <x v="0"/>
    <x v="1"/>
    <x v="4"/>
    <x v="1"/>
    <x v="1"/>
    <n v="9"/>
    <x v="17"/>
    <n v="0.45"/>
    <n v="9.0000000000000011E-2"/>
  </r>
  <r>
    <s v="L047S020"/>
    <x v="46"/>
    <x v="3"/>
    <x v="0"/>
    <x v="3"/>
    <x v="3"/>
    <x v="1"/>
    <x v="0"/>
    <n v="7"/>
    <x v="6"/>
    <n v="0.35"/>
    <n v="6.9999999999999993E-2"/>
  </r>
  <r>
    <s v="L047S018"/>
    <x v="46"/>
    <x v="0"/>
    <x v="0"/>
    <x v="0"/>
    <x v="0"/>
    <x v="0"/>
    <x v="0"/>
    <n v="0"/>
    <x v="0"/>
    <n v="0"/>
    <n v="0"/>
  </r>
  <r>
    <s v="L047S012"/>
    <x v="46"/>
    <x v="6"/>
    <x v="2"/>
    <x v="3"/>
    <x v="5"/>
    <x v="1"/>
    <x v="1"/>
    <n v="17"/>
    <x v="4"/>
    <n v="0.85"/>
    <n v="0.17"/>
  </r>
  <r>
    <s v="L047S008"/>
    <x v="46"/>
    <x v="5"/>
    <x v="2"/>
    <x v="0"/>
    <x v="1"/>
    <x v="0"/>
    <x v="0"/>
    <n v="8"/>
    <x v="13"/>
    <n v="0.4"/>
    <n v="0.16000000000000003"/>
  </r>
  <r>
    <s v="L047S010"/>
    <x v="46"/>
    <x v="7"/>
    <x v="0"/>
    <x v="3"/>
    <x v="6"/>
    <x v="2"/>
    <x v="1"/>
    <n v="0"/>
    <x v="0"/>
    <n v="0"/>
    <n v="0"/>
  </r>
  <r>
    <s v="L047S001"/>
    <x v="46"/>
    <x v="14"/>
    <x v="1"/>
    <x v="0"/>
    <x v="1"/>
    <x v="2"/>
    <x v="0"/>
    <n v="0"/>
    <x v="0"/>
    <n v="0"/>
    <n v="0"/>
  </r>
  <r>
    <s v="L047S003"/>
    <x v="46"/>
    <x v="19"/>
    <x v="2"/>
    <x v="1"/>
    <x v="2"/>
    <x v="1"/>
    <x v="1"/>
    <n v="11"/>
    <x v="1"/>
    <n v="0.55000000000000004"/>
    <n v="0.11000000000000001"/>
  </r>
  <r>
    <s v="L047S015"/>
    <x v="46"/>
    <x v="13"/>
    <x v="0"/>
    <x v="3"/>
    <x v="3"/>
    <x v="0"/>
    <x v="1"/>
    <n v="4"/>
    <x v="9"/>
    <n v="0.2"/>
    <n v="8.0000000000000016E-2"/>
  </r>
  <r>
    <s v="L047S004"/>
    <x v="46"/>
    <x v="18"/>
    <x v="0"/>
    <x v="3"/>
    <x v="3"/>
    <x v="1"/>
    <x v="0"/>
    <n v="20"/>
    <x v="3"/>
    <n v="1"/>
    <n v="0.2"/>
  </r>
  <r>
    <s v="L047S005"/>
    <x v="46"/>
    <x v="9"/>
    <x v="0"/>
    <x v="1"/>
    <x v="3"/>
    <x v="1"/>
    <x v="0"/>
    <n v="0"/>
    <x v="0"/>
    <n v="0"/>
    <n v="0"/>
  </r>
  <r>
    <s v="L047S016"/>
    <x v="46"/>
    <x v="1"/>
    <x v="0"/>
    <x v="1"/>
    <x v="1"/>
    <x v="1"/>
    <x v="1"/>
    <n v="11"/>
    <x v="1"/>
    <n v="0.55000000000000004"/>
    <n v="0.11000000000000001"/>
  </r>
  <r>
    <s v="L047S009"/>
    <x v="46"/>
    <x v="16"/>
    <x v="0"/>
    <x v="2"/>
    <x v="6"/>
    <x v="1"/>
    <x v="1"/>
    <n v="0"/>
    <x v="0"/>
    <n v="0"/>
    <n v="0"/>
  </r>
  <r>
    <s v="L047S011"/>
    <x v="46"/>
    <x v="11"/>
    <x v="0"/>
    <x v="1"/>
    <x v="3"/>
    <x v="2"/>
    <x v="0"/>
    <n v="4"/>
    <x v="9"/>
    <n v="0.2"/>
    <n v="8.0000000000000016E-2"/>
  </r>
  <r>
    <s v="L048S012"/>
    <x v="47"/>
    <x v="6"/>
    <x v="1"/>
    <x v="3"/>
    <x v="5"/>
    <x v="1"/>
    <x v="1"/>
    <n v="4"/>
    <x v="18"/>
    <n v="-0.05"/>
    <n v="-1.0000000000000002E-2"/>
  </r>
  <r>
    <s v="L048S009"/>
    <x v="47"/>
    <x v="16"/>
    <x v="0"/>
    <x v="2"/>
    <x v="6"/>
    <x v="1"/>
    <x v="1"/>
    <n v="0"/>
    <x v="0"/>
    <n v="0"/>
    <n v="0"/>
  </r>
  <r>
    <s v="L048S003"/>
    <x v="47"/>
    <x v="19"/>
    <x v="0"/>
    <x v="1"/>
    <x v="2"/>
    <x v="1"/>
    <x v="1"/>
    <n v="0"/>
    <x v="0"/>
    <n v="0"/>
    <n v="0"/>
  </r>
  <r>
    <s v="L048S017"/>
    <x v="47"/>
    <x v="2"/>
    <x v="0"/>
    <x v="2"/>
    <x v="2"/>
    <x v="0"/>
    <x v="1"/>
    <n v="5"/>
    <x v="14"/>
    <n v="0.25"/>
    <n v="0.1"/>
  </r>
  <r>
    <s v="L048S013"/>
    <x v="47"/>
    <x v="15"/>
    <x v="2"/>
    <x v="1"/>
    <x v="4"/>
    <x v="1"/>
    <x v="1"/>
    <n v="0"/>
    <x v="0"/>
    <n v="0"/>
    <n v="0"/>
  </r>
  <r>
    <s v="L048S016"/>
    <x v="47"/>
    <x v="1"/>
    <x v="0"/>
    <x v="1"/>
    <x v="1"/>
    <x v="1"/>
    <x v="1"/>
    <n v="0"/>
    <x v="0"/>
    <n v="0"/>
    <n v="0"/>
  </r>
  <r>
    <s v="L048S004"/>
    <x v="47"/>
    <x v="18"/>
    <x v="0"/>
    <x v="3"/>
    <x v="3"/>
    <x v="1"/>
    <x v="0"/>
    <n v="0"/>
    <x v="0"/>
    <n v="0"/>
    <n v="0"/>
  </r>
  <r>
    <s v="L048S020"/>
    <x v="47"/>
    <x v="3"/>
    <x v="0"/>
    <x v="3"/>
    <x v="3"/>
    <x v="1"/>
    <x v="0"/>
    <n v="10"/>
    <x v="2"/>
    <n v="0.5"/>
    <n v="0.1"/>
  </r>
  <r>
    <s v="L048S010"/>
    <x v="47"/>
    <x v="7"/>
    <x v="1"/>
    <x v="3"/>
    <x v="6"/>
    <x v="2"/>
    <x v="1"/>
    <n v="5"/>
    <x v="0"/>
    <n v="0"/>
    <n v="0"/>
  </r>
  <r>
    <s v="L048S001"/>
    <x v="47"/>
    <x v="14"/>
    <x v="1"/>
    <x v="0"/>
    <x v="1"/>
    <x v="2"/>
    <x v="0"/>
    <n v="0"/>
    <x v="0"/>
    <n v="0"/>
    <n v="0"/>
  </r>
  <r>
    <s v="L048S006"/>
    <x v="47"/>
    <x v="12"/>
    <x v="1"/>
    <x v="2"/>
    <x v="6"/>
    <x v="2"/>
    <x v="0"/>
    <n v="0"/>
    <x v="0"/>
    <n v="0"/>
    <n v="0"/>
  </r>
  <r>
    <s v="L048S015"/>
    <x v="47"/>
    <x v="13"/>
    <x v="0"/>
    <x v="3"/>
    <x v="3"/>
    <x v="0"/>
    <x v="1"/>
    <n v="0"/>
    <x v="0"/>
    <n v="0"/>
    <n v="0"/>
  </r>
  <r>
    <s v="L048S018"/>
    <x v="47"/>
    <x v="0"/>
    <x v="0"/>
    <x v="0"/>
    <x v="0"/>
    <x v="0"/>
    <x v="0"/>
    <n v="15"/>
    <x v="8"/>
    <n v="0.75"/>
    <n v="0.30000000000000004"/>
  </r>
  <r>
    <s v="L049S007"/>
    <x v="48"/>
    <x v="8"/>
    <x v="1"/>
    <x v="2"/>
    <x v="5"/>
    <x v="0"/>
    <x v="1"/>
    <n v="0"/>
    <x v="0"/>
    <n v="0"/>
    <n v="0"/>
  </r>
  <r>
    <s v="L049S008"/>
    <x v="48"/>
    <x v="5"/>
    <x v="1"/>
    <x v="0"/>
    <x v="1"/>
    <x v="0"/>
    <x v="0"/>
    <n v="14"/>
    <x v="17"/>
    <n v="0.45"/>
    <n v="0.18000000000000002"/>
  </r>
  <r>
    <s v="L049S005"/>
    <x v="48"/>
    <x v="9"/>
    <x v="0"/>
    <x v="1"/>
    <x v="3"/>
    <x v="1"/>
    <x v="0"/>
    <n v="18"/>
    <x v="15"/>
    <n v="0.9"/>
    <n v="0.18000000000000002"/>
  </r>
  <r>
    <s v="L049S020"/>
    <x v="48"/>
    <x v="3"/>
    <x v="0"/>
    <x v="3"/>
    <x v="3"/>
    <x v="1"/>
    <x v="0"/>
    <n v="0"/>
    <x v="0"/>
    <n v="0"/>
    <n v="0"/>
  </r>
  <r>
    <s v="L049S003"/>
    <x v="48"/>
    <x v="19"/>
    <x v="2"/>
    <x v="1"/>
    <x v="2"/>
    <x v="1"/>
    <x v="1"/>
    <n v="0"/>
    <x v="0"/>
    <n v="0"/>
    <n v="0"/>
  </r>
  <r>
    <s v="L049S006"/>
    <x v="48"/>
    <x v="12"/>
    <x v="2"/>
    <x v="2"/>
    <x v="6"/>
    <x v="2"/>
    <x v="0"/>
    <n v="8"/>
    <x v="13"/>
    <n v="0.4"/>
    <n v="0.16000000000000003"/>
  </r>
  <r>
    <s v="L049S018"/>
    <x v="48"/>
    <x v="0"/>
    <x v="0"/>
    <x v="0"/>
    <x v="0"/>
    <x v="0"/>
    <x v="0"/>
    <n v="19"/>
    <x v="19"/>
    <n v="0.95"/>
    <n v="0.38"/>
  </r>
  <r>
    <s v="L049S016"/>
    <x v="48"/>
    <x v="1"/>
    <x v="1"/>
    <x v="1"/>
    <x v="1"/>
    <x v="1"/>
    <x v="1"/>
    <n v="12"/>
    <x v="6"/>
    <n v="0.35"/>
    <n v="6.9999999999999993E-2"/>
  </r>
  <r>
    <s v="L049S015"/>
    <x v="48"/>
    <x v="13"/>
    <x v="0"/>
    <x v="3"/>
    <x v="3"/>
    <x v="0"/>
    <x v="1"/>
    <n v="0"/>
    <x v="0"/>
    <n v="0"/>
    <n v="0"/>
  </r>
  <r>
    <s v="L049S002"/>
    <x v="48"/>
    <x v="4"/>
    <x v="0"/>
    <x v="0"/>
    <x v="4"/>
    <x v="0"/>
    <x v="1"/>
    <n v="6"/>
    <x v="11"/>
    <n v="0.3"/>
    <n v="0.12"/>
  </r>
  <r>
    <s v="L049S001"/>
    <x v="48"/>
    <x v="14"/>
    <x v="1"/>
    <x v="0"/>
    <x v="1"/>
    <x v="2"/>
    <x v="0"/>
    <n v="7"/>
    <x v="21"/>
    <n v="0.1"/>
    <n v="4.0000000000000008E-2"/>
  </r>
  <r>
    <s v="L049S019"/>
    <x v="48"/>
    <x v="10"/>
    <x v="1"/>
    <x v="0"/>
    <x v="6"/>
    <x v="1"/>
    <x v="1"/>
    <n v="0"/>
    <x v="0"/>
    <n v="0"/>
    <n v="0"/>
  </r>
  <r>
    <s v="L049S004"/>
    <x v="48"/>
    <x v="18"/>
    <x v="0"/>
    <x v="3"/>
    <x v="3"/>
    <x v="1"/>
    <x v="0"/>
    <n v="0"/>
    <x v="0"/>
    <n v="0"/>
    <n v="0"/>
  </r>
  <r>
    <s v="L049S014"/>
    <x v="48"/>
    <x v="17"/>
    <x v="0"/>
    <x v="3"/>
    <x v="1"/>
    <x v="2"/>
    <x v="0"/>
    <n v="0"/>
    <x v="0"/>
    <n v="0"/>
    <n v="0"/>
  </r>
  <r>
    <s v="L050S019"/>
    <x v="49"/>
    <x v="10"/>
    <x v="0"/>
    <x v="0"/>
    <x v="6"/>
    <x v="1"/>
    <x v="1"/>
    <n v="20"/>
    <x v="3"/>
    <n v="1"/>
    <n v="0.2"/>
  </r>
  <r>
    <s v="L050S013"/>
    <x v="49"/>
    <x v="15"/>
    <x v="0"/>
    <x v="1"/>
    <x v="4"/>
    <x v="1"/>
    <x v="1"/>
    <n v="0"/>
    <x v="0"/>
    <n v="0"/>
    <n v="0"/>
  </r>
  <r>
    <s v="L050S020"/>
    <x v="49"/>
    <x v="3"/>
    <x v="0"/>
    <x v="3"/>
    <x v="3"/>
    <x v="1"/>
    <x v="0"/>
    <n v="0"/>
    <x v="0"/>
    <n v="0"/>
    <n v="0"/>
  </r>
  <r>
    <s v="L050S006"/>
    <x v="49"/>
    <x v="12"/>
    <x v="0"/>
    <x v="2"/>
    <x v="6"/>
    <x v="2"/>
    <x v="0"/>
    <n v="4"/>
    <x v="9"/>
    <n v="0.2"/>
    <n v="8.0000000000000016E-2"/>
  </r>
  <r>
    <s v="L050S001"/>
    <x v="49"/>
    <x v="14"/>
    <x v="0"/>
    <x v="0"/>
    <x v="1"/>
    <x v="2"/>
    <x v="0"/>
    <n v="20"/>
    <x v="3"/>
    <n v="1"/>
    <n v="0.4"/>
  </r>
  <r>
    <s v="L050S014"/>
    <x v="49"/>
    <x v="17"/>
    <x v="0"/>
    <x v="3"/>
    <x v="1"/>
    <x v="2"/>
    <x v="0"/>
    <n v="19"/>
    <x v="19"/>
    <n v="0.95"/>
    <n v="0.38"/>
  </r>
  <r>
    <s v="L050S012"/>
    <x v="49"/>
    <x v="6"/>
    <x v="0"/>
    <x v="3"/>
    <x v="5"/>
    <x v="1"/>
    <x v="1"/>
    <n v="0"/>
    <x v="0"/>
    <n v="0"/>
    <n v="0"/>
  </r>
  <r>
    <s v="L050S015"/>
    <x v="49"/>
    <x v="13"/>
    <x v="0"/>
    <x v="3"/>
    <x v="3"/>
    <x v="0"/>
    <x v="1"/>
    <n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B4989-FDEE-4DF2-9EFF-14AD0E56110A}" name="PivotTable2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88:R90" firstHeaderRow="1" firstDataRow="1" firstDataCol="1"/>
  <pivotFields count="12">
    <pivotField showAll="0"/>
    <pivotField axis="axisRow" showAll="0">
      <items count="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>
      <items count="23">
        <item x="18"/>
        <item x="0"/>
        <item x="16"/>
        <item x="21"/>
        <item x="20"/>
        <item x="9"/>
        <item x="14"/>
        <item x="11"/>
        <item x="6"/>
        <item x="13"/>
        <item x="17"/>
        <item x="2"/>
        <item x="1"/>
        <item x="7"/>
        <item x="5"/>
        <item x="12"/>
        <item x="8"/>
        <item x="10"/>
        <item x="4"/>
        <item x="15"/>
        <item x="19"/>
        <item x="3"/>
        <item t="default"/>
      </items>
    </pivotField>
    <pivotField showAll="0"/>
    <pivotField showAll="0"/>
  </pivotFields>
  <rowFields count="1">
    <field x="1"/>
  </rowFields>
  <rowItems count="2">
    <i>
      <x v="40"/>
    </i>
    <i t="grand">
      <x/>
    </i>
  </rowItems>
  <colItems count="1">
    <i/>
  </colItems>
  <dataFields count="1">
    <dataField name="Average of Updated Quiz Marks" fld="9" subtotal="average" baseField="1" baseItem="0"/>
  </dataFields>
  <formats count="24">
    <format dxfId="116">
      <pivotArea type="all" dataOnly="0" outline="0" fieldPosition="0"/>
    </format>
    <format dxfId="115">
      <pivotArea outline="0" collapsedLevelsAreSubtotals="1" fieldPosition="0"/>
    </format>
    <format dxfId="114">
      <pivotArea field="1" type="button" dataOnly="0" labelOnly="1" outline="0" axis="axisRow" fieldPosition="0"/>
    </format>
    <format dxfId="113">
      <pivotArea dataOnly="0" labelOnly="1" fieldPosition="0">
        <references count="1">
          <reference field="1" count="0"/>
        </references>
      </pivotArea>
    </format>
    <format dxfId="112">
      <pivotArea dataOnly="0" labelOnly="1" grandRow="1" outline="0" fieldPosition="0"/>
    </format>
    <format dxfId="111">
      <pivotArea dataOnly="0" labelOnly="1" outline="0" axis="axisValues" fieldPosition="0"/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1" type="button" dataOnly="0" labelOnly="1" outline="0" axis="axisRow" fieldPosition="0"/>
    </format>
    <format dxfId="107">
      <pivotArea dataOnly="0" labelOnly="1" fieldPosition="0">
        <references count="1">
          <reference field="1" count="0"/>
        </references>
      </pivotArea>
    </format>
    <format dxfId="106">
      <pivotArea dataOnly="0" labelOnly="1" grandRow="1" outline="0" fieldPosition="0"/>
    </format>
    <format dxfId="105">
      <pivotArea dataOnly="0" labelOnly="1" outline="0" axis="axisValues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516DB-EED7-4D04-9275-776B02A9A5E7}" name="PivotTable22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1:H120" firstHeaderRow="1" firstDataRow="2" firstDataCol="1"/>
  <pivotFields count="12">
    <pivotField showAll="0"/>
    <pivotField showAll="0">
      <items count="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dataField="1" showAll="0"/>
    <pivotField showAll="0"/>
    <pivotField axis="axisCol" showAll="0">
      <items count="5">
        <item x="1"/>
        <item x="2"/>
        <item x="0"/>
        <item x="3"/>
        <item t="default"/>
      </items>
    </pivotField>
    <pivotField axis="axisRow" showAll="0">
      <items count="8">
        <item x="5"/>
        <item x="1"/>
        <item x="4"/>
        <item x="3"/>
        <item x="0"/>
        <item x="6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ession ID" fld="2" subtotal="count" baseField="0" baseItem="0"/>
  </dataFields>
  <formats count="45">
    <format dxfId="131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fieldPosition="0"/>
    </format>
    <format dxfId="128">
      <pivotArea field="4" type="button" dataOnly="0" labelOnly="1" outline="0" axis="axisCol" fieldPosition="0"/>
    </format>
    <format dxfId="127">
      <pivotArea type="topRight" dataOnly="0" labelOnly="1" outline="0" fieldPosition="0"/>
    </format>
    <format dxfId="126">
      <pivotArea field="5" type="button" dataOnly="0" labelOnly="1" outline="0" axis="axisRow" fieldPosition="0"/>
    </format>
    <format dxfId="125">
      <pivotArea dataOnly="0" labelOnly="1" fieldPosition="0">
        <references count="1">
          <reference field="5" count="0"/>
        </references>
      </pivotArea>
    </format>
    <format dxfId="124">
      <pivotArea dataOnly="0" labelOnly="1" grandRow="1" outline="0" fieldPosition="0"/>
    </format>
    <format dxfId="123">
      <pivotArea dataOnly="0" labelOnly="1" fieldPosition="0">
        <references count="1">
          <reference field="4" count="0"/>
        </references>
      </pivotArea>
    </format>
    <format dxfId="122">
      <pivotArea dataOnly="0" labelOnly="1" grandCol="1" outline="0" fieldPosition="0"/>
    </format>
    <format dxfId="121">
      <pivotArea collapsedLevelsAreSubtotals="1" fieldPosition="0">
        <references count="1">
          <reference field="5" count="0"/>
        </references>
      </pivotArea>
    </format>
    <format dxfId="120">
      <pivotArea field="5" type="button" dataOnly="0" labelOnly="1" outline="0" axis="axisRow" fieldPosition="0"/>
    </format>
    <format dxfId="119">
      <pivotArea dataOnly="0" labelOnly="1" fieldPosition="0">
        <references count="1">
          <reference field="5" count="0"/>
        </references>
      </pivotArea>
    </format>
    <format dxfId="118">
      <pivotArea dataOnly="0" labelOnly="1" fieldPosition="0">
        <references count="1">
          <reference field="4" count="0"/>
        </references>
      </pivotArea>
    </format>
    <format dxfId="117">
      <pivotArea dataOnly="0" labelOnly="1" grandCol="1" outline="0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4" type="button" dataOnly="0" labelOnly="1" outline="0" axis="axisCol" fieldPosition="0"/>
    </format>
    <format dxfId="100">
      <pivotArea type="topRight" dataOnly="0" labelOnly="1" outline="0" fieldPosition="0"/>
    </format>
    <format dxfId="99">
      <pivotArea field="5" type="button" dataOnly="0" labelOnly="1" outline="0" axis="axisRow" fieldPosition="0"/>
    </format>
    <format dxfId="98">
      <pivotArea dataOnly="0" labelOnly="1" fieldPosition="0">
        <references count="1">
          <reference field="5" count="0"/>
        </references>
      </pivotArea>
    </format>
    <format dxfId="97">
      <pivotArea dataOnly="0" labelOnly="1" grandRow="1" outline="0" fieldPosition="0"/>
    </format>
    <format dxfId="96">
      <pivotArea dataOnly="0" labelOnly="1" fieldPosition="0">
        <references count="1">
          <reference field="4" count="0"/>
        </references>
      </pivotArea>
    </format>
    <format dxfId="95">
      <pivotArea dataOnly="0" labelOnly="1" grandCol="1" outline="0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4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5" type="button" dataOnly="0" labelOnly="1" outline="0" axis="axisRow" fieldPosition="0"/>
    </format>
    <format dxfId="72">
      <pivotArea dataOnly="0" labelOnly="1" fieldPosition="0">
        <references count="1">
          <reference field="5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4" count="0"/>
        </references>
      </pivotArea>
    </format>
    <format dxfId="69">
      <pivotArea dataOnly="0" labelOnly="1" grandCol="1" outline="0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type="origin" dataOnly="0" labelOnly="1" outline="0" fieldPosition="0"/>
    </format>
    <format dxfId="11">
      <pivotArea field="4" type="button" dataOnly="0" labelOnly="1" outline="0" axis="axisCol" fieldPosition="0"/>
    </format>
    <format dxfId="12">
      <pivotArea type="topRight" dataOnly="0" labelOnly="1" outline="0" fieldPosition="0"/>
    </format>
    <format dxfId="13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0"/>
        </references>
      </pivotArea>
    </format>
    <format dxfId="15">
      <pivotArea dataOnly="0" labelOnly="1" grandRow="1" outline="0" fieldPosition="0"/>
    </format>
    <format dxfId="16">
      <pivotArea dataOnly="0" labelOnly="1" fieldPosition="0">
        <references count="1">
          <reference field="4" count="0"/>
        </references>
      </pivotArea>
    </format>
    <format dxfId="1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5E1B0-B808-4C0D-87C8-35C9B497FFFA}" name="PivotTable1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4:G38" firstHeaderRow="1" firstDataRow="2" firstDataCol="1"/>
  <pivotFields count="12">
    <pivotField showAll="0"/>
    <pivotField showAll="0">
      <items count="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t="default"/>
      </items>
    </pivotField>
    <pivotField showAll="0"/>
    <pivotField axis="axisCol" dataField="1" showAll="0">
      <items count="4">
        <item x="1"/>
        <item x="2"/>
        <item x="0"/>
        <item t="default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Attendance Status" fld="3" subtotal="count" baseField="0" baseItem="0"/>
  </dataFields>
  <formats count="40">
    <format dxfId="132">
      <pivotArea type="all" dataOnly="0" outline="0" fieldPosition="0"/>
    </format>
    <format dxfId="133">
      <pivotArea outline="0" collapsedLevelsAreSubtotals="1" fieldPosition="0"/>
    </format>
    <format dxfId="134">
      <pivotArea type="origin" dataOnly="0" labelOnly="1" outline="0" fieldPosition="0"/>
    </format>
    <format dxfId="135">
      <pivotArea field="3" type="button" dataOnly="0" labelOnly="1" outline="0" axis="axisCol" fieldPosition="0"/>
    </format>
    <format dxfId="136">
      <pivotArea type="topRight" dataOnly="0" labelOnly="1" outline="0" fieldPosition="0"/>
    </format>
    <format dxfId="137">
      <pivotArea field="7" type="button" dataOnly="0" labelOnly="1" outline="0" axis="axisRow" fieldPosition="0"/>
    </format>
    <format dxfId="138">
      <pivotArea dataOnly="0" labelOnly="1" fieldPosition="0">
        <references count="1">
          <reference field="7" count="0"/>
        </references>
      </pivotArea>
    </format>
    <format dxfId="139">
      <pivotArea dataOnly="0" labelOnly="1" grandRow="1" outline="0" fieldPosition="0"/>
    </format>
    <format dxfId="140">
      <pivotArea dataOnly="0" labelOnly="1" fieldPosition="0">
        <references count="1">
          <reference field="3" count="0"/>
        </references>
      </pivotArea>
    </format>
    <format dxfId="141">
      <pivotArea dataOnly="0" labelOnly="1" grandCol="1" outline="0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3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7" type="button" dataOnly="0" labelOnly="1" outline="0" axis="axisRow" fieldPosition="0"/>
    </format>
    <format dxfId="88">
      <pivotArea dataOnly="0" labelOnly="1" fieldPosition="0">
        <references count="1">
          <reference field="7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3" count="0"/>
        </references>
      </pivotArea>
    </format>
    <format dxfId="85">
      <pivotArea dataOnly="0" labelOnly="1" grandCol="1" outline="0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3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7" type="button" dataOnly="0" labelOnly="1" outline="0" axis="axisRow" fieldPosition="0"/>
    </format>
    <format dxfId="62">
      <pivotArea dataOnly="0" labelOnly="1" fieldPosition="0">
        <references count="1">
          <reference field="7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3" count="0"/>
        </references>
      </pivotArea>
    </format>
    <format dxfId="59">
      <pivotArea dataOnly="0" labelOnly="1" grandCol="1" outline="0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type="origin" dataOnly="0" labelOnly="1" outline="0" fieldPosition="0"/>
    </format>
    <format dxfId="21">
      <pivotArea field="3" type="button" dataOnly="0" labelOnly="1" outline="0" axis="axisCol" fieldPosition="0"/>
    </format>
    <format dxfId="22">
      <pivotArea type="topRight" dataOnly="0" labelOnly="1" outline="0" fieldPosition="0"/>
    </format>
    <format dxfId="23">
      <pivotArea field="7" type="button" dataOnly="0" labelOnly="1" outline="0" axis="axisRow" fieldPosition="0"/>
    </format>
    <format dxfId="24">
      <pivotArea dataOnly="0" labelOnly="1" fieldPosition="0">
        <references count="1">
          <reference field="7" count="0"/>
        </references>
      </pivotArea>
    </format>
    <format dxfId="25">
      <pivotArea dataOnly="0" labelOnly="1" grandRow="1" outline="0" fieldPosition="0"/>
    </format>
    <format dxfId="26">
      <pivotArea dataOnly="0" labelOnly="1" fieldPosition="0">
        <references count="1">
          <reference field="3" count="0"/>
        </references>
      </pivotArea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AD7CCD-091D-4AA6-9720-24B002757213}" name="Table6" displayName="Table6" ref="C5:I9" totalsRowShown="0" headerRowDxfId="58" dataDxfId="57">
  <autoFilter ref="C5:I9" xr:uid="{9BAD7CCD-091D-4AA6-9720-24B002757213}"/>
  <tableColumns count="7">
    <tableColumn id="1" xr3:uid="{031A73A1-B719-43C3-9472-15F0E06138D9}" name="attendence " dataDxfId="56"/>
    <tableColumn id="2" xr3:uid="{5932E911-C8B2-46E6-8711-BD5EC6334E61}" name="Absent" dataDxfId="55"/>
    <tableColumn id="3" xr3:uid="{25B9229E-0851-473B-8BB0-4BAB53091CC1}" name="Late" dataDxfId="54"/>
    <tableColumn id="4" xr3:uid="{68494A30-EB0A-4F65-8FBC-C0D8FA1418AA}" name="Present" dataDxfId="53"/>
    <tableColumn id="5" xr3:uid="{7785C24C-A3C6-4A57-9425-506A6E5A466B}" name="Grand Total" dataDxfId="52"/>
    <tableColumn id="6" xr3:uid="{9D9830EE-E6ED-457A-96B6-97DB01F366C3}" name="Ratio(present/total)" dataDxfId="51">
      <calculatedColumnFormula>F6/G6</calculatedColumnFormula>
    </tableColumn>
    <tableColumn id="7" xr3:uid="{5ECDCAA0-E1C6-40D1-8F0F-92D4542D894B}" name="Ratio(absents/total)" dataDxfId="50">
      <calculatedColumnFormula>Table6[[#This Row],[Absent]]/Table6[[#This Row],[Grand Total]]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5568590-387C-48D9-B6CE-1C3D2074039C}" name="Table7" displayName="Table7" ref="C20:I24" totalsRowShown="0" headerRowDxfId="49" dataDxfId="48" headerRowBorderDxfId="47">
  <autoFilter ref="C20:I24" xr:uid="{65568590-387C-48D9-B6CE-1C3D2074039C}"/>
  <tableColumns count="7">
    <tableColumn id="1" xr3:uid="{7B32ABF2-75E5-4AC2-99B1-D299537B117C}" name="Row Labels" dataDxfId="46"/>
    <tableColumn id="2" xr3:uid="{1FABB6E7-C7FC-4992-BDDD-50C5109B8592}" name="Absent" dataDxfId="45"/>
    <tableColumn id="3" xr3:uid="{6E38C4C1-191A-4C4F-89F8-D89E54D7AD09}" name="Late" dataDxfId="44"/>
    <tableColumn id="4" xr3:uid="{20F41E48-F2C3-4314-867B-4346A3963C5B}" name="Present" dataDxfId="43"/>
    <tableColumn id="5" xr3:uid="{C31D47F0-CAF4-4170-A165-F11C122C5A4F}" name="Grand Total" dataDxfId="42"/>
    <tableColumn id="6" xr3:uid="{EA7A1F42-BAAA-47F9-AB71-0C82CCF5E8E6}" name="Ratio(present/total)" dataDxfId="41">
      <calculatedColumnFormula>Table7[[#This Row],[Present]]/Table7[[#This Row],[Grand Total]]</calculatedColumnFormula>
    </tableColumn>
    <tableColumn id="7" xr3:uid="{29F2A907-7C30-469A-9723-B939D3467824}" name="Ratio(absents/total)" dataDxfId="40">
      <calculatedColumnFormula>Table7[[#This Row],[Absent]]/Table7[[#This Row],[Grand Total]]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F400CA-04AC-4046-BF9E-0623F44719C1}" name="Table139" displayName="Table139" ref="C47:I97" totalsRowShown="0" headerRowDxfId="39" dataDxfId="38" headerRowBorderDxfId="36" tableBorderDxfId="37" totalsRowBorderDxfId="35">
  <autoFilter ref="C47:I97" xr:uid="{A5F400CA-04AC-4046-BF9E-0623F44719C1}">
    <filterColumn colId="5">
      <filters>
        <filter val="AA"/>
      </filters>
    </filterColumn>
  </autoFilter>
  <tableColumns count="7">
    <tableColumn id="1" xr3:uid="{7619EDEF-51DA-44C5-A195-82D22C28386E}" name="Learner " dataDxfId="34"/>
    <tableColumn id="2" xr3:uid="{76E64053-E467-49F1-87A1-7142B7D66061}" name="Absent " dataDxfId="33"/>
    <tableColumn id="3" xr3:uid="{D3D0EA9A-045A-4F35-9A76-5EB4AE00090B}" name="Late" dataDxfId="32"/>
    <tableColumn id="4" xr3:uid="{5D07FF63-C48C-4C6D-9A19-030C0C0F84E5}" name="Present " dataDxfId="31"/>
    <tableColumn id="5" xr3:uid="{3C3CA36E-E5F1-4531-BBD3-BE52C01F8557}" name="Total" dataDxfId="30"/>
    <tableColumn id="6" xr3:uid="{CF54D285-7120-4A05-A970-05B1BEC1C246}" name="Grade" dataDxfId="29"/>
    <tableColumn id="7" xr3:uid="{39A5700D-7B67-442F-A971-A1E657A1A3BF}" name="Ratio(present/total classes)" dataDxfId="28">
      <calculatedColumnFormula>F48/G48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Z221"/>
  <sheetViews>
    <sheetView showGridLines="0" workbookViewId="0">
      <selection activeCell="C3" sqref="C3"/>
    </sheetView>
  </sheetViews>
  <sheetFormatPr defaultColWidth="12.6640625" defaultRowHeight="15.75" customHeight="1" x14ac:dyDescent="0.25"/>
  <cols>
    <col min="1" max="1" width="0.44140625" customWidth="1"/>
    <col min="2" max="2" width="24.33203125" customWidth="1"/>
    <col min="3" max="3" width="168.88671875" customWidth="1"/>
    <col min="5" max="23" width="12.6640625" hidden="1"/>
  </cols>
  <sheetData>
    <row r="1" spans="1:26" ht="15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3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.25" customHeight="1" x14ac:dyDescent="0.25">
      <c r="A3" s="3"/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.25" customHeight="1" x14ac:dyDescent="0.25">
      <c r="A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 customHeight="1" x14ac:dyDescent="0.25">
      <c r="A5" s="4"/>
      <c r="B5" s="5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 x14ac:dyDescent="0.25">
      <c r="A6" s="4"/>
      <c r="B6" s="2" t="s">
        <v>134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25">
      <c r="A7" s="4"/>
      <c r="B7" s="2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25" customHeight="1" x14ac:dyDescent="0.25">
      <c r="A8" s="4"/>
      <c r="B8" s="2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4"/>
      <c r="B10" s="5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 x14ac:dyDescent="0.25">
      <c r="A11" s="4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 x14ac:dyDescent="0.25">
      <c r="A12" s="3"/>
      <c r="B12" s="6" t="s">
        <v>6</v>
      </c>
      <c r="C12" s="6" t="s">
        <v>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25">
      <c r="A13" s="3"/>
      <c r="B13" s="7" t="s">
        <v>8</v>
      </c>
      <c r="C13" s="7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" customHeight="1" x14ac:dyDescent="0.25">
      <c r="A14" s="3"/>
      <c r="B14" s="7" t="s">
        <v>10</v>
      </c>
      <c r="C14" s="7" t="s">
        <v>11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" customHeight="1" x14ac:dyDescent="0.25">
      <c r="A15" s="3"/>
      <c r="B15" s="7" t="s">
        <v>12</v>
      </c>
      <c r="C15" s="7" t="s">
        <v>13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4" customHeight="1" x14ac:dyDescent="0.25">
      <c r="A16" s="3"/>
      <c r="B16" s="7" t="s">
        <v>14</v>
      </c>
      <c r="C16" s="7" t="s">
        <v>15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4" customHeight="1" x14ac:dyDescent="0.25">
      <c r="A17" s="3"/>
      <c r="B17" s="7" t="s">
        <v>16</v>
      </c>
      <c r="C17" s="7" t="s">
        <v>17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3"/>
      <c r="B19" s="5" t="s">
        <v>18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5" customHeight="1" x14ac:dyDescent="0.25">
      <c r="A20" s="3"/>
      <c r="B20" s="2" t="s"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5" customHeight="1" x14ac:dyDescent="0.25">
      <c r="A21" s="3"/>
      <c r="B21" s="2" t="s">
        <v>20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hidden="1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hidden="1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hidden="1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hidden="1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hidden="1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hidden="1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hidden="1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hidden="1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hidden="1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hidden="1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hidden="1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hidden="1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50"/>
  <sheetViews>
    <sheetView showGridLines="0" zoomScale="70" zoomScaleNormal="70" workbookViewId="0">
      <selection activeCell="P24" sqref="P24"/>
    </sheetView>
  </sheetViews>
  <sheetFormatPr defaultColWidth="12.6640625" defaultRowHeight="15.75" customHeight="1" x14ac:dyDescent="0.25"/>
  <cols>
    <col min="1" max="1" width="20.88671875" style="23" customWidth="1"/>
    <col min="2" max="2" width="8.88671875" customWidth="1"/>
    <col min="3" max="3" width="8.77734375" customWidth="1"/>
    <col min="4" max="4" width="18.21875" customWidth="1"/>
    <col min="5" max="5" width="17" customWidth="1"/>
    <col min="6" max="6" width="24.44140625" customWidth="1"/>
    <col min="7" max="7" width="14.109375" customWidth="1"/>
    <col min="9" max="9" width="14.88671875" customWidth="1"/>
    <col min="10" max="11" width="21.21875" customWidth="1"/>
    <col min="12" max="12" width="22.44140625" customWidth="1"/>
    <col min="13" max="13" width="30.109375" style="40" customWidth="1"/>
    <col min="14" max="15" width="20" customWidth="1"/>
    <col min="16" max="16" width="24.33203125" customWidth="1"/>
    <col min="17" max="17" width="28.88671875" customWidth="1"/>
  </cols>
  <sheetData>
    <row r="1" spans="1:27" ht="15.75" customHeight="1" x14ac:dyDescent="0.25">
      <c r="B1" s="28"/>
      <c r="C1" s="25"/>
      <c r="D1" s="26"/>
      <c r="E1" s="26">
        <v>2</v>
      </c>
      <c r="F1" s="26">
        <v>3</v>
      </c>
      <c r="G1" s="26">
        <v>4</v>
      </c>
      <c r="H1" s="27">
        <v>2</v>
      </c>
      <c r="M1"/>
    </row>
    <row r="2" spans="1:27" s="34" customFormat="1" ht="14.4" x14ac:dyDescent="0.25">
      <c r="A2" s="29" t="s">
        <v>595</v>
      </c>
      <c r="B2" s="29" t="s">
        <v>21</v>
      </c>
      <c r="C2" s="21" t="s">
        <v>22</v>
      </c>
      <c r="D2" s="21" t="s">
        <v>23</v>
      </c>
      <c r="E2" s="21" t="s">
        <v>97</v>
      </c>
      <c r="F2" s="21" t="s">
        <v>98</v>
      </c>
      <c r="G2" s="21" t="s">
        <v>99</v>
      </c>
      <c r="H2" s="21" t="s">
        <v>114</v>
      </c>
      <c r="I2" s="21" t="s">
        <v>597</v>
      </c>
      <c r="J2" s="21" t="s">
        <v>596</v>
      </c>
      <c r="K2" s="36" t="s">
        <v>598</v>
      </c>
      <c r="L2" s="36" t="s">
        <v>645</v>
      </c>
      <c r="M2" s="39"/>
      <c r="N2" s="36" t="s">
        <v>599</v>
      </c>
      <c r="O2" s="36" t="s">
        <v>604</v>
      </c>
      <c r="P2" s="36" t="s">
        <v>644</v>
      </c>
      <c r="Q2" s="37" t="s">
        <v>605</v>
      </c>
      <c r="R2" s="37" t="s">
        <v>600</v>
      </c>
      <c r="S2" s="37" t="s">
        <v>123</v>
      </c>
    </row>
    <row r="3" spans="1:27" s="34" customFormat="1" ht="13.8" x14ac:dyDescent="0.3">
      <c r="A3" s="24" t="str">
        <f>B3&amp;C3</f>
        <v>L001S018</v>
      </c>
      <c r="B3" s="32" t="s">
        <v>24</v>
      </c>
      <c r="C3" s="33" t="s">
        <v>25</v>
      </c>
      <c r="D3" s="33" t="s">
        <v>26</v>
      </c>
      <c r="E3" s="24" t="str">
        <f t="shared" ref="E3:G22" si="0">VLOOKUP($C3,session_details,E$1,FALSE)</f>
        <v>CS Fundamentals</v>
      </c>
      <c r="F3" s="24" t="str">
        <f t="shared" si="0"/>
        <v>IN_5</v>
      </c>
      <c r="G3" s="24" t="str">
        <f t="shared" si="0"/>
        <v>Practical</v>
      </c>
      <c r="H3" s="24" t="str">
        <f t="shared" ref="H3:H66" si="1">VLOOKUP($C3,Session_mode,H$1,FALSE)</f>
        <v>Online</v>
      </c>
      <c r="I3" s="24">
        <v>0</v>
      </c>
      <c r="J3" s="24">
        <f t="shared" ref="J3:J66" si="2">IF(D3="Present", I3, IF(AND(D3="Absent", I3&lt;&gt;0), I3-5, I3))</f>
        <v>0</v>
      </c>
      <c r="K3" s="35">
        <f>J3/20</f>
        <v>0</v>
      </c>
      <c r="L3" s="24">
        <f>IF(G3="Theory Session", K3*0.4,
 IF(G3="Practical",       K3*0.4,
 IF(G3="Workshop",        K3*0.2,
 0)))</f>
        <v>0</v>
      </c>
      <c r="M3" s="41"/>
      <c r="N3" s="24" t="s">
        <v>24</v>
      </c>
      <c r="O3" s="42">
        <v>14</v>
      </c>
      <c r="P3" s="24">
        <v>0.6100000000000001</v>
      </c>
      <c r="Q3" s="24">
        <f>P3/O3</f>
        <v>4.357142857142858E-2</v>
      </c>
      <c r="R3" s="35">
        <f>_xlfn.RANK.EQ(Q3, $Q$3:$Q$52, 0)</f>
        <v>40</v>
      </c>
      <c r="S3" s="24" t="str">
        <f>IF(R3&lt;=5,"AA",
 IF(R3&lt;=10,"A",
 IF(R3&lt;=20,"B",
 IF(R3&lt;=30,"C","D"))))</f>
        <v>D</v>
      </c>
    </row>
    <row r="4" spans="1:27" s="34" customFormat="1" ht="13.8" x14ac:dyDescent="0.3">
      <c r="A4" s="24" t="str">
        <f t="shared" ref="A4:A67" si="3">B4&amp;C4</f>
        <v>L001S016</v>
      </c>
      <c r="B4" s="32" t="s">
        <v>24</v>
      </c>
      <c r="C4" s="33" t="s">
        <v>27</v>
      </c>
      <c r="D4" s="33" t="s">
        <v>26</v>
      </c>
      <c r="E4" s="24" t="str">
        <f t="shared" si="0"/>
        <v>Algebra Basics</v>
      </c>
      <c r="F4" s="24" t="str">
        <f t="shared" si="0"/>
        <v>IN_2</v>
      </c>
      <c r="G4" s="24" t="str">
        <f t="shared" si="0"/>
        <v>Workshop</v>
      </c>
      <c r="H4" s="24" t="str">
        <f t="shared" si="1"/>
        <v>Offline</v>
      </c>
      <c r="I4" s="24">
        <v>0</v>
      </c>
      <c r="J4" s="24">
        <f t="shared" si="2"/>
        <v>0</v>
      </c>
      <c r="K4" s="35">
        <f t="shared" ref="K4:K67" si="4">J4/20</f>
        <v>0</v>
      </c>
      <c r="L4" s="24">
        <f t="shared" ref="L4:L67" si="5">IF(G4="Theory Session", K4*0.4,
 IF(G4="Practical",       K4*0.4,
 IF(G4="Workshop",        K4*0.2,
 0)))</f>
        <v>0</v>
      </c>
      <c r="M4" s="41"/>
      <c r="N4" s="24" t="s">
        <v>42</v>
      </c>
      <c r="O4" s="42">
        <v>12</v>
      </c>
      <c r="P4" s="24">
        <v>1.06</v>
      </c>
      <c r="Q4" s="24">
        <f t="shared" ref="Q4:Q52" si="6">P4/O4</f>
        <v>8.8333333333333333E-2</v>
      </c>
      <c r="R4" s="35">
        <f t="shared" ref="R4:R52" si="7">_xlfn.RANK.EQ(Q4, $Q$3:$Q$52, 0)</f>
        <v>19</v>
      </c>
      <c r="S4" s="24" t="str">
        <f t="shared" ref="S4:S52" si="8">IF(R4&lt;=5,"AA",
 IF(R4&lt;=10,"A",
 IF(R4&lt;=20,"B",
 IF(R4&lt;=30,"C","D"))))</f>
        <v>B</v>
      </c>
    </row>
    <row r="5" spans="1:27" s="34" customFormat="1" ht="13.8" x14ac:dyDescent="0.3">
      <c r="A5" s="24" t="str">
        <f t="shared" si="3"/>
        <v>L001S017</v>
      </c>
      <c r="B5" s="32" t="s">
        <v>24</v>
      </c>
      <c r="C5" s="33" t="s">
        <v>28</v>
      </c>
      <c r="D5" s="33" t="s">
        <v>29</v>
      </c>
      <c r="E5" s="24" t="str">
        <f t="shared" si="0"/>
        <v>Communication</v>
      </c>
      <c r="F5" s="24" t="str">
        <f t="shared" si="0"/>
        <v>IN_7</v>
      </c>
      <c r="G5" s="24" t="str">
        <f t="shared" si="0"/>
        <v>Practical</v>
      </c>
      <c r="H5" s="24" t="str">
        <f t="shared" si="1"/>
        <v>Offline</v>
      </c>
      <c r="I5" s="24">
        <v>0</v>
      </c>
      <c r="J5" s="24">
        <f t="shared" si="2"/>
        <v>0</v>
      </c>
      <c r="K5" s="35">
        <f t="shared" si="4"/>
        <v>0</v>
      </c>
      <c r="L5" s="24">
        <f t="shared" si="5"/>
        <v>0</v>
      </c>
      <c r="M5" s="41"/>
      <c r="N5" s="24" t="s">
        <v>48</v>
      </c>
      <c r="O5" s="42">
        <v>9</v>
      </c>
      <c r="P5" s="24">
        <v>0.88000000000000012</v>
      </c>
      <c r="Q5" s="24">
        <f t="shared" si="6"/>
        <v>9.7777777777777797E-2</v>
      </c>
      <c r="R5" s="35">
        <f t="shared" si="7"/>
        <v>13</v>
      </c>
      <c r="S5" s="24" t="str">
        <f t="shared" si="8"/>
        <v>B</v>
      </c>
    </row>
    <row r="6" spans="1:27" s="34" customFormat="1" ht="13.8" x14ac:dyDescent="0.3">
      <c r="A6" s="24" t="str">
        <f t="shared" si="3"/>
        <v>L001S020</v>
      </c>
      <c r="B6" s="32" t="s">
        <v>24</v>
      </c>
      <c r="C6" s="33" t="s">
        <v>30</v>
      </c>
      <c r="D6" s="33" t="s">
        <v>26</v>
      </c>
      <c r="E6" s="24" t="str">
        <f t="shared" si="0"/>
        <v>Foundations of ML</v>
      </c>
      <c r="F6" s="24" t="str">
        <f t="shared" si="0"/>
        <v>IN_4</v>
      </c>
      <c r="G6" s="24" t="str">
        <f t="shared" si="0"/>
        <v>Workshop</v>
      </c>
      <c r="H6" s="24" t="str">
        <f t="shared" si="1"/>
        <v>Online</v>
      </c>
      <c r="I6" s="24">
        <v>0</v>
      </c>
      <c r="J6" s="24">
        <f t="shared" si="2"/>
        <v>0</v>
      </c>
      <c r="K6" s="35">
        <f t="shared" si="4"/>
        <v>0</v>
      </c>
      <c r="L6" s="24">
        <f t="shared" si="5"/>
        <v>0</v>
      </c>
      <c r="M6" s="41"/>
      <c r="N6" s="24" t="s">
        <v>49</v>
      </c>
      <c r="O6" s="42">
        <v>7</v>
      </c>
      <c r="P6" s="24">
        <v>0.22000000000000003</v>
      </c>
      <c r="Q6" s="24">
        <f t="shared" si="6"/>
        <v>3.1428571428571431E-2</v>
      </c>
      <c r="R6" s="35">
        <f t="shared" si="7"/>
        <v>46</v>
      </c>
      <c r="S6" s="24" t="str">
        <f t="shared" si="8"/>
        <v>D</v>
      </c>
      <c r="T6" s="10"/>
      <c r="U6" s="10"/>
      <c r="V6" s="10"/>
      <c r="W6" s="10"/>
      <c r="X6" s="10"/>
      <c r="Y6" s="10"/>
      <c r="Z6" s="10"/>
      <c r="AA6" s="10"/>
    </row>
    <row r="7" spans="1:27" s="34" customFormat="1" ht="13.8" x14ac:dyDescent="0.3">
      <c r="A7" s="24" t="str">
        <f t="shared" si="3"/>
        <v>L001S002</v>
      </c>
      <c r="B7" s="32" t="s">
        <v>24</v>
      </c>
      <c r="C7" s="33" t="s">
        <v>31</v>
      </c>
      <c r="D7" s="33" t="s">
        <v>29</v>
      </c>
      <c r="E7" s="24" t="str">
        <f t="shared" si="0"/>
        <v>CS Fundamentals</v>
      </c>
      <c r="F7" s="24" t="str">
        <f t="shared" si="0"/>
        <v>IN_3</v>
      </c>
      <c r="G7" s="24" t="str">
        <f t="shared" si="0"/>
        <v>Practical</v>
      </c>
      <c r="H7" s="24" t="str">
        <f t="shared" si="1"/>
        <v>Offline</v>
      </c>
      <c r="I7" s="24">
        <v>0</v>
      </c>
      <c r="J7" s="24">
        <f t="shared" si="2"/>
        <v>0</v>
      </c>
      <c r="K7" s="35">
        <f t="shared" si="4"/>
        <v>0</v>
      </c>
      <c r="L7" s="24">
        <f t="shared" si="5"/>
        <v>0</v>
      </c>
      <c r="M7" s="41"/>
      <c r="N7" s="24" t="s">
        <v>51</v>
      </c>
      <c r="O7" s="42">
        <v>10</v>
      </c>
      <c r="P7" s="24">
        <v>0.92000000000000015</v>
      </c>
      <c r="Q7" s="24">
        <f t="shared" si="6"/>
        <v>9.2000000000000012E-2</v>
      </c>
      <c r="R7" s="35">
        <f t="shared" si="7"/>
        <v>16</v>
      </c>
      <c r="S7" s="24" t="str">
        <f t="shared" si="8"/>
        <v>B</v>
      </c>
      <c r="T7" s="10"/>
      <c r="U7" s="10"/>
      <c r="V7" s="10"/>
      <c r="W7" s="10"/>
      <c r="X7" s="10"/>
      <c r="Y7" s="10"/>
      <c r="Z7" s="10"/>
      <c r="AA7" s="10"/>
    </row>
    <row r="8" spans="1:27" s="34" customFormat="1" ht="13.8" x14ac:dyDescent="0.3">
      <c r="A8" s="24" t="str">
        <f t="shared" si="3"/>
        <v>L001S008</v>
      </c>
      <c r="B8" s="32" t="s">
        <v>24</v>
      </c>
      <c r="C8" s="33" t="s">
        <v>32</v>
      </c>
      <c r="D8" s="33" t="s">
        <v>26</v>
      </c>
      <c r="E8" s="24" t="str">
        <f t="shared" si="0"/>
        <v>CS Fundamentals</v>
      </c>
      <c r="F8" s="24" t="str">
        <f t="shared" si="0"/>
        <v>IN_2</v>
      </c>
      <c r="G8" s="24" t="str">
        <f t="shared" si="0"/>
        <v>Practical</v>
      </c>
      <c r="H8" s="24" t="str">
        <f t="shared" si="1"/>
        <v>Online</v>
      </c>
      <c r="I8" s="24">
        <v>0</v>
      </c>
      <c r="J8" s="24">
        <f t="shared" si="2"/>
        <v>0</v>
      </c>
      <c r="K8" s="35">
        <f t="shared" si="4"/>
        <v>0</v>
      </c>
      <c r="L8" s="24">
        <f t="shared" si="5"/>
        <v>0</v>
      </c>
      <c r="M8" s="41"/>
      <c r="N8" s="24" t="s">
        <v>52</v>
      </c>
      <c r="O8" s="42">
        <v>6</v>
      </c>
      <c r="P8" s="24">
        <v>0.83</v>
      </c>
      <c r="Q8" s="24">
        <f t="shared" si="6"/>
        <v>0.13833333333333334</v>
      </c>
      <c r="R8" s="35">
        <f t="shared" si="7"/>
        <v>3</v>
      </c>
      <c r="S8" s="24" t="str">
        <f t="shared" si="8"/>
        <v>AA</v>
      </c>
      <c r="T8" s="10"/>
      <c r="U8" s="10"/>
      <c r="V8" s="10"/>
      <c r="W8" s="10"/>
      <c r="X8" s="10"/>
      <c r="Y8" s="10"/>
      <c r="Z8" s="10"/>
      <c r="AA8" s="10"/>
    </row>
    <row r="9" spans="1:27" s="34" customFormat="1" ht="13.8" x14ac:dyDescent="0.3">
      <c r="A9" s="24" t="str">
        <f t="shared" si="3"/>
        <v>L001S012</v>
      </c>
      <c r="B9" s="32" t="s">
        <v>24</v>
      </c>
      <c r="C9" s="33" t="s">
        <v>33</v>
      </c>
      <c r="D9" s="33" t="s">
        <v>26</v>
      </c>
      <c r="E9" s="24" t="str">
        <f t="shared" si="0"/>
        <v>Foundations of ML</v>
      </c>
      <c r="F9" s="24" t="str">
        <f t="shared" si="0"/>
        <v>IN_1</v>
      </c>
      <c r="G9" s="24" t="str">
        <f t="shared" si="0"/>
        <v>Workshop</v>
      </c>
      <c r="H9" s="24" t="str">
        <f t="shared" si="1"/>
        <v>Offline</v>
      </c>
      <c r="I9" s="24">
        <v>11</v>
      </c>
      <c r="J9" s="24">
        <f t="shared" si="2"/>
        <v>11</v>
      </c>
      <c r="K9" s="35">
        <f t="shared" si="4"/>
        <v>0.55000000000000004</v>
      </c>
      <c r="L9" s="24">
        <f t="shared" si="5"/>
        <v>0.11000000000000001</v>
      </c>
      <c r="M9" s="41"/>
      <c r="N9" s="24" t="s">
        <v>53</v>
      </c>
      <c r="O9" s="42">
        <v>14</v>
      </c>
      <c r="P9" s="24">
        <v>0.69000000000000006</v>
      </c>
      <c r="Q9" s="24">
        <f t="shared" si="6"/>
        <v>4.9285714285714287E-2</v>
      </c>
      <c r="R9" s="35">
        <f t="shared" si="7"/>
        <v>35</v>
      </c>
      <c r="S9" s="24" t="str">
        <f t="shared" si="8"/>
        <v>D</v>
      </c>
      <c r="T9" s="10"/>
      <c r="U9" s="10"/>
      <c r="V9" s="10"/>
      <c r="W9" s="10"/>
      <c r="X9" s="10"/>
      <c r="Y9" s="10"/>
      <c r="Z9" s="10"/>
      <c r="AA9" s="10"/>
    </row>
    <row r="10" spans="1:27" s="34" customFormat="1" ht="13.8" x14ac:dyDescent="0.3">
      <c r="A10" s="24" t="str">
        <f t="shared" si="3"/>
        <v>L001S010</v>
      </c>
      <c r="B10" s="32" t="s">
        <v>24</v>
      </c>
      <c r="C10" s="33" t="s">
        <v>34</v>
      </c>
      <c r="D10" s="33" t="s">
        <v>26</v>
      </c>
      <c r="E10" s="24" t="str">
        <f t="shared" si="0"/>
        <v>Foundations of ML</v>
      </c>
      <c r="F10" s="24" t="str">
        <f t="shared" si="0"/>
        <v>IN_6</v>
      </c>
      <c r="G10" s="24" t="str">
        <f t="shared" si="0"/>
        <v>Theory Session</v>
      </c>
      <c r="H10" s="24" t="str">
        <f t="shared" si="1"/>
        <v>Offline</v>
      </c>
      <c r="I10" s="24">
        <v>0</v>
      </c>
      <c r="J10" s="24">
        <f t="shared" si="2"/>
        <v>0</v>
      </c>
      <c r="K10" s="35">
        <f t="shared" si="4"/>
        <v>0</v>
      </c>
      <c r="L10" s="24">
        <f t="shared" si="5"/>
        <v>0</v>
      </c>
      <c r="M10" s="41"/>
      <c r="N10" s="24" t="s">
        <v>54</v>
      </c>
      <c r="O10" s="42">
        <v>5</v>
      </c>
      <c r="P10" s="24">
        <v>0.26</v>
      </c>
      <c r="Q10" s="24">
        <f t="shared" si="6"/>
        <v>5.2000000000000005E-2</v>
      </c>
      <c r="R10" s="35">
        <f t="shared" si="7"/>
        <v>34</v>
      </c>
      <c r="S10" s="24" t="str">
        <f t="shared" si="8"/>
        <v>D</v>
      </c>
      <c r="T10" s="10"/>
      <c r="U10" s="10"/>
      <c r="V10" s="10"/>
      <c r="W10" s="10"/>
      <c r="X10" s="10"/>
      <c r="Y10" s="10"/>
      <c r="Z10" s="10"/>
      <c r="AA10" s="10"/>
    </row>
    <row r="11" spans="1:27" s="34" customFormat="1" ht="13.8" x14ac:dyDescent="0.3">
      <c r="A11" s="24" t="str">
        <f t="shared" si="3"/>
        <v>L001S007</v>
      </c>
      <c r="B11" s="32" t="s">
        <v>24</v>
      </c>
      <c r="C11" s="33" t="s">
        <v>35</v>
      </c>
      <c r="D11" s="33" t="s">
        <v>26</v>
      </c>
      <c r="E11" s="24" t="str">
        <f t="shared" si="0"/>
        <v>Communication</v>
      </c>
      <c r="F11" s="24" t="str">
        <f t="shared" si="0"/>
        <v>IN_1</v>
      </c>
      <c r="G11" s="24" t="str">
        <f t="shared" si="0"/>
        <v>Practical</v>
      </c>
      <c r="H11" s="24" t="str">
        <f t="shared" si="1"/>
        <v>Offline</v>
      </c>
      <c r="I11" s="24">
        <v>0</v>
      </c>
      <c r="J11" s="24">
        <f t="shared" si="2"/>
        <v>0</v>
      </c>
      <c r="K11" s="35">
        <f t="shared" si="4"/>
        <v>0</v>
      </c>
      <c r="L11" s="24">
        <f t="shared" si="5"/>
        <v>0</v>
      </c>
      <c r="M11" s="41"/>
      <c r="N11" s="24" t="s">
        <v>55</v>
      </c>
      <c r="O11" s="42">
        <v>9</v>
      </c>
      <c r="P11" s="24">
        <v>1.1900000000000002</v>
      </c>
      <c r="Q11" s="24">
        <f t="shared" si="6"/>
        <v>0.13222222222222224</v>
      </c>
      <c r="R11" s="35">
        <f t="shared" si="7"/>
        <v>5</v>
      </c>
      <c r="S11" s="24" t="str">
        <f t="shared" si="8"/>
        <v>AA</v>
      </c>
      <c r="T11" s="10"/>
      <c r="U11" s="10"/>
      <c r="V11" s="10"/>
      <c r="W11" s="10"/>
      <c r="X11" s="10"/>
      <c r="Y11" s="10"/>
      <c r="Z11" s="10"/>
      <c r="AA11" s="10"/>
    </row>
    <row r="12" spans="1:27" s="34" customFormat="1" ht="13.8" x14ac:dyDescent="0.3">
      <c r="A12" s="24" t="str">
        <f t="shared" si="3"/>
        <v>L001S005</v>
      </c>
      <c r="B12" s="32" t="s">
        <v>24</v>
      </c>
      <c r="C12" s="33" t="s">
        <v>36</v>
      </c>
      <c r="D12" s="33" t="s">
        <v>37</v>
      </c>
      <c r="E12" s="24" t="str">
        <f t="shared" si="0"/>
        <v>Algebra Basics</v>
      </c>
      <c r="F12" s="24" t="str">
        <f t="shared" si="0"/>
        <v>IN_4</v>
      </c>
      <c r="G12" s="24" t="str">
        <f t="shared" si="0"/>
        <v>Workshop</v>
      </c>
      <c r="H12" s="24" t="str">
        <f t="shared" si="1"/>
        <v>Online</v>
      </c>
      <c r="I12" s="24">
        <v>10</v>
      </c>
      <c r="J12" s="24">
        <f t="shared" si="2"/>
        <v>10</v>
      </c>
      <c r="K12" s="35">
        <f t="shared" si="4"/>
        <v>0.5</v>
      </c>
      <c r="L12" s="24">
        <f t="shared" si="5"/>
        <v>0.1</v>
      </c>
      <c r="M12" s="41"/>
      <c r="N12" s="24" t="s">
        <v>56</v>
      </c>
      <c r="O12" s="42">
        <v>8</v>
      </c>
      <c r="P12" s="24">
        <v>1.2600000000000002</v>
      </c>
      <c r="Q12" s="24">
        <f t="shared" si="6"/>
        <v>0.15750000000000003</v>
      </c>
      <c r="R12" s="35">
        <f t="shared" si="7"/>
        <v>1</v>
      </c>
      <c r="S12" s="24" t="str">
        <f t="shared" si="8"/>
        <v>AA</v>
      </c>
      <c r="T12" s="10"/>
      <c r="U12" s="10"/>
      <c r="V12" s="10"/>
      <c r="W12" s="10"/>
      <c r="X12" s="10"/>
      <c r="Y12" s="10"/>
      <c r="Z12" s="10"/>
      <c r="AA12" s="10"/>
    </row>
    <row r="13" spans="1:27" s="34" customFormat="1" ht="13.8" x14ac:dyDescent="0.3">
      <c r="A13" s="24" t="str">
        <f t="shared" si="3"/>
        <v>L001S019</v>
      </c>
      <c r="B13" s="32" t="s">
        <v>24</v>
      </c>
      <c r="C13" s="33" t="s">
        <v>38</v>
      </c>
      <c r="D13" s="33" t="s">
        <v>26</v>
      </c>
      <c r="E13" s="24" t="str">
        <f t="shared" si="0"/>
        <v>CS Fundamentals</v>
      </c>
      <c r="F13" s="24" t="str">
        <f t="shared" si="0"/>
        <v>IN_6</v>
      </c>
      <c r="G13" s="24" t="str">
        <f t="shared" si="0"/>
        <v>Workshop</v>
      </c>
      <c r="H13" s="24" t="str">
        <f t="shared" si="1"/>
        <v>Offline</v>
      </c>
      <c r="I13" s="24">
        <v>0</v>
      </c>
      <c r="J13" s="24">
        <f t="shared" si="2"/>
        <v>0</v>
      </c>
      <c r="K13" s="35">
        <f t="shared" si="4"/>
        <v>0</v>
      </c>
      <c r="L13" s="24">
        <f t="shared" si="5"/>
        <v>0</v>
      </c>
      <c r="M13" s="41"/>
      <c r="N13" s="24" t="s">
        <v>57</v>
      </c>
      <c r="O13" s="42">
        <v>13</v>
      </c>
      <c r="P13" s="24">
        <v>0.93</v>
      </c>
      <c r="Q13" s="24">
        <f t="shared" si="6"/>
        <v>7.1538461538461537E-2</v>
      </c>
      <c r="R13" s="35">
        <f t="shared" si="7"/>
        <v>27</v>
      </c>
      <c r="S13" s="24" t="str">
        <f t="shared" si="8"/>
        <v>C</v>
      </c>
      <c r="T13" s="10"/>
      <c r="U13" s="10"/>
      <c r="V13" s="10"/>
      <c r="W13" s="10"/>
      <c r="X13" s="10"/>
      <c r="Y13" s="10"/>
      <c r="Z13" s="10"/>
      <c r="AA13" s="10"/>
    </row>
    <row r="14" spans="1:27" s="34" customFormat="1" ht="13.8" x14ac:dyDescent="0.3">
      <c r="A14" s="24" t="str">
        <f t="shared" si="3"/>
        <v>L001S011</v>
      </c>
      <c r="B14" s="32" t="s">
        <v>24</v>
      </c>
      <c r="C14" s="33" t="s">
        <v>39</v>
      </c>
      <c r="D14" s="33" t="s">
        <v>29</v>
      </c>
      <c r="E14" s="24" t="str">
        <f t="shared" si="0"/>
        <v>Algebra Basics</v>
      </c>
      <c r="F14" s="24" t="str">
        <f t="shared" si="0"/>
        <v>IN_4</v>
      </c>
      <c r="G14" s="24" t="str">
        <f t="shared" si="0"/>
        <v>Theory Session</v>
      </c>
      <c r="H14" s="24" t="str">
        <f t="shared" si="1"/>
        <v>Online</v>
      </c>
      <c r="I14" s="24">
        <v>0</v>
      </c>
      <c r="J14" s="24">
        <f t="shared" si="2"/>
        <v>0</v>
      </c>
      <c r="K14" s="35">
        <f t="shared" si="4"/>
        <v>0</v>
      </c>
      <c r="L14" s="24">
        <f t="shared" si="5"/>
        <v>0</v>
      </c>
      <c r="M14" s="41"/>
      <c r="N14" s="24" t="s">
        <v>58</v>
      </c>
      <c r="O14" s="42">
        <v>6</v>
      </c>
      <c r="P14" s="24">
        <v>0.53</v>
      </c>
      <c r="Q14" s="24">
        <f t="shared" si="6"/>
        <v>8.8333333333333333E-2</v>
      </c>
      <c r="R14" s="35">
        <f t="shared" si="7"/>
        <v>19</v>
      </c>
      <c r="S14" s="24" t="str">
        <f t="shared" si="8"/>
        <v>B</v>
      </c>
      <c r="T14" s="10"/>
      <c r="U14" s="10"/>
      <c r="V14" s="10"/>
      <c r="W14" s="10"/>
      <c r="X14" s="10"/>
      <c r="Y14" s="10"/>
      <c r="Z14" s="10"/>
      <c r="AA14" s="10"/>
    </row>
    <row r="15" spans="1:27" s="34" customFormat="1" ht="13.8" x14ac:dyDescent="0.3">
      <c r="A15" s="24" t="str">
        <f t="shared" si="3"/>
        <v>L001S006</v>
      </c>
      <c r="B15" s="32" t="s">
        <v>24</v>
      </c>
      <c r="C15" s="33" t="s">
        <v>40</v>
      </c>
      <c r="D15" s="33" t="s">
        <v>26</v>
      </c>
      <c r="E15" s="24" t="str">
        <f t="shared" si="0"/>
        <v>Communication</v>
      </c>
      <c r="F15" s="24" t="str">
        <f t="shared" si="0"/>
        <v>IN_6</v>
      </c>
      <c r="G15" s="24" t="str">
        <f t="shared" si="0"/>
        <v>Theory Session</v>
      </c>
      <c r="H15" s="24" t="str">
        <f t="shared" si="1"/>
        <v>Online</v>
      </c>
      <c r="I15" s="24">
        <v>20</v>
      </c>
      <c r="J15" s="24">
        <f t="shared" si="2"/>
        <v>20</v>
      </c>
      <c r="K15" s="35">
        <f t="shared" si="4"/>
        <v>1</v>
      </c>
      <c r="L15" s="24">
        <f t="shared" si="5"/>
        <v>0.4</v>
      </c>
      <c r="M15" s="41"/>
      <c r="N15" s="24" t="s">
        <v>59</v>
      </c>
      <c r="O15" s="42">
        <v>5</v>
      </c>
      <c r="P15" s="24">
        <v>0.54</v>
      </c>
      <c r="Q15" s="24">
        <f t="shared" si="6"/>
        <v>0.10800000000000001</v>
      </c>
      <c r="R15" s="35">
        <f t="shared" si="7"/>
        <v>9</v>
      </c>
      <c r="S15" s="24" t="str">
        <f t="shared" si="8"/>
        <v>A</v>
      </c>
      <c r="T15" s="10"/>
      <c r="U15" s="10"/>
      <c r="V15" s="10"/>
      <c r="W15" s="10"/>
      <c r="X15" s="10"/>
      <c r="Y15" s="10"/>
      <c r="Z15" s="10"/>
      <c r="AA15" s="10"/>
    </row>
    <row r="16" spans="1:27" s="34" customFormat="1" ht="13.8" x14ac:dyDescent="0.3">
      <c r="A16" s="24" t="str">
        <f t="shared" si="3"/>
        <v>L001S015</v>
      </c>
      <c r="B16" s="32" t="s">
        <v>24</v>
      </c>
      <c r="C16" s="33" t="s">
        <v>41</v>
      </c>
      <c r="D16" s="33" t="s">
        <v>29</v>
      </c>
      <c r="E16" s="24" t="str">
        <f t="shared" si="0"/>
        <v>Foundations of ML</v>
      </c>
      <c r="F16" s="24" t="str">
        <f t="shared" si="0"/>
        <v>IN_4</v>
      </c>
      <c r="G16" s="24" t="str">
        <f t="shared" si="0"/>
        <v>Practical</v>
      </c>
      <c r="H16" s="24" t="str">
        <f t="shared" si="1"/>
        <v>Offline</v>
      </c>
      <c r="I16" s="24">
        <v>0</v>
      </c>
      <c r="J16" s="24">
        <f t="shared" si="2"/>
        <v>0</v>
      </c>
      <c r="K16" s="35">
        <f t="shared" si="4"/>
        <v>0</v>
      </c>
      <c r="L16" s="24">
        <f t="shared" si="5"/>
        <v>0</v>
      </c>
      <c r="M16" s="41"/>
      <c r="N16" s="24" t="s">
        <v>60</v>
      </c>
      <c r="O16" s="42">
        <v>5</v>
      </c>
      <c r="P16" s="24">
        <v>0.54</v>
      </c>
      <c r="Q16" s="24">
        <f t="shared" si="6"/>
        <v>0.10800000000000001</v>
      </c>
      <c r="R16" s="35">
        <f t="shared" si="7"/>
        <v>9</v>
      </c>
      <c r="S16" s="24" t="str">
        <f t="shared" si="8"/>
        <v>A</v>
      </c>
      <c r="T16" s="10"/>
      <c r="U16" s="10"/>
      <c r="V16" s="10"/>
      <c r="W16" s="10"/>
      <c r="X16" s="10"/>
      <c r="Y16" s="10"/>
      <c r="Z16" s="10"/>
      <c r="AA16" s="10"/>
    </row>
    <row r="17" spans="1:27" s="34" customFormat="1" ht="13.8" x14ac:dyDescent="0.3">
      <c r="A17" s="24" t="str">
        <f t="shared" si="3"/>
        <v>L002S001</v>
      </c>
      <c r="B17" s="32" t="s">
        <v>42</v>
      </c>
      <c r="C17" s="33" t="s">
        <v>43</v>
      </c>
      <c r="D17" s="33" t="s">
        <v>26</v>
      </c>
      <c r="E17" s="24" t="str">
        <f t="shared" si="0"/>
        <v>CS Fundamentals</v>
      </c>
      <c r="F17" s="24" t="str">
        <f t="shared" si="0"/>
        <v>IN_2</v>
      </c>
      <c r="G17" s="24" t="str">
        <f t="shared" si="0"/>
        <v>Theory Session</v>
      </c>
      <c r="H17" s="24" t="str">
        <f t="shared" si="1"/>
        <v>Online</v>
      </c>
      <c r="I17" s="24">
        <v>0</v>
      </c>
      <c r="J17" s="24">
        <f t="shared" si="2"/>
        <v>0</v>
      </c>
      <c r="K17" s="35">
        <f t="shared" si="4"/>
        <v>0</v>
      </c>
      <c r="L17" s="24">
        <f t="shared" si="5"/>
        <v>0</v>
      </c>
      <c r="M17" s="41"/>
      <c r="N17" s="24" t="s">
        <v>61</v>
      </c>
      <c r="O17" s="42">
        <v>9</v>
      </c>
      <c r="P17" s="24">
        <v>0.76000000000000012</v>
      </c>
      <c r="Q17" s="24">
        <f t="shared" si="6"/>
        <v>8.4444444444444461E-2</v>
      </c>
      <c r="R17" s="35">
        <f t="shared" si="7"/>
        <v>21</v>
      </c>
      <c r="S17" s="24" t="str">
        <f t="shared" si="8"/>
        <v>C</v>
      </c>
      <c r="T17" s="10"/>
      <c r="U17" s="10"/>
      <c r="V17" s="10"/>
      <c r="W17" s="10"/>
      <c r="X17" s="10"/>
      <c r="Y17" s="10"/>
      <c r="Z17" s="10"/>
      <c r="AA17" s="10"/>
    </row>
    <row r="18" spans="1:27" s="34" customFormat="1" ht="13.8" x14ac:dyDescent="0.3">
      <c r="A18" s="24" t="str">
        <f t="shared" si="3"/>
        <v>L002S013</v>
      </c>
      <c r="B18" s="32" t="s">
        <v>42</v>
      </c>
      <c r="C18" s="33" t="s">
        <v>44</v>
      </c>
      <c r="D18" s="33" t="s">
        <v>26</v>
      </c>
      <c r="E18" s="24" t="str">
        <f t="shared" si="0"/>
        <v>Algebra Basics</v>
      </c>
      <c r="F18" s="24" t="str">
        <f t="shared" si="0"/>
        <v>IN_3</v>
      </c>
      <c r="G18" s="24" t="str">
        <f t="shared" si="0"/>
        <v>Workshop</v>
      </c>
      <c r="H18" s="24" t="str">
        <f t="shared" si="1"/>
        <v>Offline</v>
      </c>
      <c r="I18" s="24">
        <v>0</v>
      </c>
      <c r="J18" s="24">
        <f t="shared" si="2"/>
        <v>0</v>
      </c>
      <c r="K18" s="35">
        <f t="shared" si="4"/>
        <v>0</v>
      </c>
      <c r="L18" s="24">
        <f t="shared" si="5"/>
        <v>0</v>
      </c>
      <c r="M18" s="41"/>
      <c r="N18" s="24" t="s">
        <v>62</v>
      </c>
      <c r="O18" s="42">
        <v>7</v>
      </c>
      <c r="P18" s="24">
        <v>0.31</v>
      </c>
      <c r="Q18" s="24">
        <f t="shared" si="6"/>
        <v>4.4285714285714282E-2</v>
      </c>
      <c r="R18" s="35">
        <f t="shared" si="7"/>
        <v>39</v>
      </c>
      <c r="S18" s="24" t="str">
        <f t="shared" si="8"/>
        <v>D</v>
      </c>
      <c r="T18" s="10"/>
      <c r="U18" s="10"/>
      <c r="V18" s="10"/>
      <c r="W18" s="10"/>
      <c r="X18" s="10"/>
      <c r="Y18" s="10"/>
      <c r="Z18" s="10"/>
      <c r="AA18" s="10"/>
    </row>
    <row r="19" spans="1:27" s="34" customFormat="1" ht="13.8" x14ac:dyDescent="0.3">
      <c r="A19" s="24" t="str">
        <f t="shared" si="3"/>
        <v>L002S010</v>
      </c>
      <c r="B19" s="32" t="s">
        <v>42</v>
      </c>
      <c r="C19" s="33" t="s">
        <v>34</v>
      </c>
      <c r="D19" s="33" t="s">
        <v>26</v>
      </c>
      <c r="E19" s="24" t="str">
        <f t="shared" si="0"/>
        <v>Foundations of ML</v>
      </c>
      <c r="F19" s="24" t="str">
        <f t="shared" si="0"/>
        <v>IN_6</v>
      </c>
      <c r="G19" s="24" t="str">
        <f t="shared" si="0"/>
        <v>Theory Session</v>
      </c>
      <c r="H19" s="24" t="str">
        <f t="shared" si="1"/>
        <v>Offline</v>
      </c>
      <c r="I19" s="24">
        <v>17</v>
      </c>
      <c r="J19" s="24">
        <f t="shared" si="2"/>
        <v>17</v>
      </c>
      <c r="K19" s="35">
        <f t="shared" si="4"/>
        <v>0.85</v>
      </c>
      <c r="L19" s="24">
        <f t="shared" si="5"/>
        <v>0.34</v>
      </c>
      <c r="M19" s="41"/>
      <c r="N19" s="24" t="s">
        <v>63</v>
      </c>
      <c r="O19" s="42">
        <v>7</v>
      </c>
      <c r="P19" s="24">
        <v>0.25</v>
      </c>
      <c r="Q19" s="24">
        <f t="shared" si="6"/>
        <v>3.5714285714285712E-2</v>
      </c>
      <c r="R19" s="35">
        <f t="shared" si="7"/>
        <v>45</v>
      </c>
      <c r="S19" s="24" t="str">
        <f t="shared" si="8"/>
        <v>D</v>
      </c>
      <c r="T19" s="10"/>
      <c r="U19" s="10"/>
      <c r="V19" s="10"/>
      <c r="W19" s="10"/>
      <c r="X19" s="10"/>
      <c r="Y19" s="10"/>
      <c r="Z19" s="10"/>
      <c r="AA19" s="10"/>
    </row>
    <row r="20" spans="1:27" s="34" customFormat="1" ht="13.8" x14ac:dyDescent="0.3">
      <c r="A20" s="24" t="str">
        <f t="shared" si="3"/>
        <v>L002S012</v>
      </c>
      <c r="B20" s="32" t="s">
        <v>42</v>
      </c>
      <c r="C20" s="33" t="s">
        <v>33</v>
      </c>
      <c r="D20" s="33" t="s">
        <v>29</v>
      </c>
      <c r="E20" s="24" t="str">
        <f t="shared" si="0"/>
        <v>Foundations of ML</v>
      </c>
      <c r="F20" s="24" t="str">
        <f t="shared" si="0"/>
        <v>IN_1</v>
      </c>
      <c r="G20" s="24" t="str">
        <f t="shared" si="0"/>
        <v>Workshop</v>
      </c>
      <c r="H20" s="24" t="str">
        <f t="shared" si="1"/>
        <v>Offline</v>
      </c>
      <c r="I20" s="24">
        <v>16</v>
      </c>
      <c r="J20" s="24">
        <f t="shared" si="2"/>
        <v>11</v>
      </c>
      <c r="K20" s="35">
        <f t="shared" si="4"/>
        <v>0.55000000000000004</v>
      </c>
      <c r="L20" s="24">
        <f t="shared" si="5"/>
        <v>0.11000000000000001</v>
      </c>
      <c r="M20" s="41"/>
      <c r="N20" s="24" t="s">
        <v>64</v>
      </c>
      <c r="O20" s="42">
        <v>7</v>
      </c>
      <c r="P20" s="24">
        <v>0.62</v>
      </c>
      <c r="Q20" s="24">
        <f t="shared" si="6"/>
        <v>8.8571428571428565E-2</v>
      </c>
      <c r="R20" s="35">
        <f t="shared" si="7"/>
        <v>18</v>
      </c>
      <c r="S20" s="24" t="str">
        <f t="shared" si="8"/>
        <v>B</v>
      </c>
      <c r="T20" s="10"/>
      <c r="U20" s="10"/>
      <c r="V20" s="10"/>
      <c r="W20" s="10"/>
      <c r="X20" s="10"/>
      <c r="Y20" s="10"/>
      <c r="Z20" s="10"/>
      <c r="AA20" s="10"/>
    </row>
    <row r="21" spans="1:27" s="34" customFormat="1" ht="13.8" x14ac:dyDescent="0.3">
      <c r="A21" s="24" t="str">
        <f t="shared" si="3"/>
        <v>L002S005</v>
      </c>
      <c r="B21" s="32" t="s">
        <v>42</v>
      </c>
      <c r="C21" s="33" t="s">
        <v>36</v>
      </c>
      <c r="D21" s="33" t="s">
        <v>26</v>
      </c>
      <c r="E21" s="24" t="str">
        <f t="shared" si="0"/>
        <v>Algebra Basics</v>
      </c>
      <c r="F21" s="24" t="str">
        <f t="shared" si="0"/>
        <v>IN_4</v>
      </c>
      <c r="G21" s="24" t="str">
        <f t="shared" si="0"/>
        <v>Workshop</v>
      </c>
      <c r="H21" s="24" t="str">
        <f t="shared" si="1"/>
        <v>Online</v>
      </c>
      <c r="I21" s="24">
        <v>0</v>
      </c>
      <c r="J21" s="24">
        <f t="shared" si="2"/>
        <v>0</v>
      </c>
      <c r="K21" s="35">
        <f t="shared" si="4"/>
        <v>0</v>
      </c>
      <c r="L21" s="24">
        <f t="shared" si="5"/>
        <v>0</v>
      </c>
      <c r="M21" s="41"/>
      <c r="N21" s="24" t="s">
        <v>65</v>
      </c>
      <c r="O21" s="42">
        <v>6</v>
      </c>
      <c r="P21" s="24">
        <v>0.05</v>
      </c>
      <c r="Q21" s="24">
        <f t="shared" si="6"/>
        <v>8.3333333333333332E-3</v>
      </c>
      <c r="R21" s="35">
        <f t="shared" si="7"/>
        <v>48</v>
      </c>
      <c r="S21" s="24" t="str">
        <f t="shared" si="8"/>
        <v>D</v>
      </c>
      <c r="T21" s="10"/>
      <c r="U21" s="10"/>
      <c r="V21" s="10"/>
      <c r="W21" s="10"/>
      <c r="X21" s="10"/>
      <c r="Y21" s="10"/>
      <c r="Z21" s="10"/>
      <c r="AA21" s="10"/>
    </row>
    <row r="22" spans="1:27" s="34" customFormat="1" ht="15.75" customHeight="1" x14ac:dyDescent="0.3">
      <c r="A22" s="24" t="str">
        <f t="shared" si="3"/>
        <v>L002S017</v>
      </c>
      <c r="B22" s="32" t="s">
        <v>42</v>
      </c>
      <c r="C22" s="33" t="s">
        <v>28</v>
      </c>
      <c r="D22" s="33" t="s">
        <v>26</v>
      </c>
      <c r="E22" s="24" t="str">
        <f t="shared" si="0"/>
        <v>Communication</v>
      </c>
      <c r="F22" s="24" t="str">
        <f t="shared" si="0"/>
        <v>IN_7</v>
      </c>
      <c r="G22" s="24" t="str">
        <f t="shared" si="0"/>
        <v>Practical</v>
      </c>
      <c r="H22" s="24" t="str">
        <f t="shared" si="1"/>
        <v>Offline</v>
      </c>
      <c r="I22" s="24">
        <v>10</v>
      </c>
      <c r="J22" s="24">
        <f t="shared" si="2"/>
        <v>10</v>
      </c>
      <c r="K22" s="35">
        <f t="shared" si="4"/>
        <v>0.5</v>
      </c>
      <c r="L22" s="24">
        <f t="shared" si="5"/>
        <v>0.2</v>
      </c>
      <c r="M22" s="41"/>
      <c r="N22" s="24" t="s">
        <v>66</v>
      </c>
      <c r="O22" s="42">
        <v>11</v>
      </c>
      <c r="P22" s="24">
        <v>1.06</v>
      </c>
      <c r="Q22" s="24">
        <f t="shared" si="6"/>
        <v>9.6363636363636374E-2</v>
      </c>
      <c r="R22" s="35">
        <f t="shared" si="7"/>
        <v>15</v>
      </c>
      <c r="S22" s="24" t="str">
        <f t="shared" si="8"/>
        <v>B</v>
      </c>
      <c r="T22" s="10"/>
      <c r="U22" s="10"/>
      <c r="V22" s="10"/>
      <c r="W22" s="10"/>
      <c r="X22" s="10"/>
      <c r="Y22" s="10"/>
      <c r="Z22" s="10"/>
      <c r="AA22" s="10"/>
    </row>
    <row r="23" spans="1:27" s="34" customFormat="1" ht="15.75" customHeight="1" x14ac:dyDescent="0.3">
      <c r="A23" s="24" t="str">
        <f t="shared" si="3"/>
        <v>L002S015</v>
      </c>
      <c r="B23" s="32" t="s">
        <v>42</v>
      </c>
      <c r="C23" s="33" t="s">
        <v>41</v>
      </c>
      <c r="D23" s="33" t="s">
        <v>29</v>
      </c>
      <c r="E23" s="24" t="str">
        <f t="shared" ref="E23:G42" si="9">VLOOKUP($C23,session_details,E$1,FALSE)</f>
        <v>Foundations of ML</v>
      </c>
      <c r="F23" s="24" t="str">
        <f t="shared" si="9"/>
        <v>IN_4</v>
      </c>
      <c r="G23" s="24" t="str">
        <f t="shared" si="9"/>
        <v>Practical</v>
      </c>
      <c r="H23" s="24" t="str">
        <f t="shared" si="1"/>
        <v>Offline</v>
      </c>
      <c r="I23" s="24">
        <v>0</v>
      </c>
      <c r="J23" s="24">
        <f t="shared" si="2"/>
        <v>0</v>
      </c>
      <c r="K23" s="35">
        <f t="shared" si="4"/>
        <v>0</v>
      </c>
      <c r="L23" s="24">
        <f t="shared" si="5"/>
        <v>0</v>
      </c>
      <c r="M23" s="41"/>
      <c r="N23" s="24" t="s">
        <v>67</v>
      </c>
      <c r="O23" s="42">
        <v>6</v>
      </c>
      <c r="P23" s="24">
        <v>0.4</v>
      </c>
      <c r="Q23" s="24">
        <f t="shared" si="6"/>
        <v>6.6666666666666666E-2</v>
      </c>
      <c r="R23" s="35">
        <f t="shared" si="7"/>
        <v>28</v>
      </c>
      <c r="S23" s="24" t="str">
        <f t="shared" si="8"/>
        <v>C</v>
      </c>
      <c r="T23" s="10"/>
      <c r="U23" s="10"/>
      <c r="V23" s="10"/>
      <c r="W23" s="10"/>
      <c r="X23" s="10"/>
      <c r="Y23" s="10"/>
      <c r="Z23" s="10"/>
      <c r="AA23" s="10"/>
    </row>
    <row r="24" spans="1:27" s="34" customFormat="1" ht="15.75" customHeight="1" x14ac:dyDescent="0.3">
      <c r="A24" s="24" t="str">
        <f t="shared" si="3"/>
        <v>L002S009</v>
      </c>
      <c r="B24" s="32" t="s">
        <v>42</v>
      </c>
      <c r="C24" s="33" t="s">
        <v>45</v>
      </c>
      <c r="D24" s="33" t="s">
        <v>26</v>
      </c>
      <c r="E24" s="24" t="str">
        <f t="shared" si="9"/>
        <v>Communication</v>
      </c>
      <c r="F24" s="24" t="str">
        <f t="shared" si="9"/>
        <v>IN_6</v>
      </c>
      <c r="G24" s="24" t="str">
        <f t="shared" si="9"/>
        <v>Workshop</v>
      </c>
      <c r="H24" s="24" t="str">
        <f t="shared" si="1"/>
        <v>Offline</v>
      </c>
      <c r="I24" s="24">
        <v>13</v>
      </c>
      <c r="J24" s="24">
        <f t="shared" si="2"/>
        <v>13</v>
      </c>
      <c r="K24" s="35">
        <f t="shared" si="4"/>
        <v>0.65</v>
      </c>
      <c r="L24" s="24">
        <f t="shared" si="5"/>
        <v>0.13</v>
      </c>
      <c r="M24" s="41"/>
      <c r="N24" s="24" t="s">
        <v>68</v>
      </c>
      <c r="O24" s="42">
        <v>9</v>
      </c>
      <c r="P24" s="24">
        <v>0.94000000000000017</v>
      </c>
      <c r="Q24" s="24">
        <f t="shared" si="6"/>
        <v>0.10444444444444446</v>
      </c>
      <c r="R24" s="35">
        <f t="shared" si="7"/>
        <v>12</v>
      </c>
      <c r="S24" s="24" t="str">
        <f t="shared" si="8"/>
        <v>B</v>
      </c>
      <c r="T24" s="10"/>
      <c r="U24" s="10"/>
      <c r="V24" s="10"/>
      <c r="W24" s="10"/>
      <c r="X24" s="10"/>
      <c r="Y24" s="10"/>
      <c r="Z24" s="10"/>
      <c r="AA24" s="10"/>
    </row>
    <row r="25" spans="1:27" s="34" customFormat="1" ht="15.75" customHeight="1" x14ac:dyDescent="0.3">
      <c r="A25" s="24" t="str">
        <f t="shared" si="3"/>
        <v>L002S007</v>
      </c>
      <c r="B25" s="32" t="s">
        <v>42</v>
      </c>
      <c r="C25" s="33" t="s">
        <v>35</v>
      </c>
      <c r="D25" s="33" t="s">
        <v>26</v>
      </c>
      <c r="E25" s="24" t="str">
        <f t="shared" si="9"/>
        <v>Communication</v>
      </c>
      <c r="F25" s="24" t="str">
        <f t="shared" si="9"/>
        <v>IN_1</v>
      </c>
      <c r="G25" s="24" t="str">
        <f t="shared" si="9"/>
        <v>Practical</v>
      </c>
      <c r="H25" s="24" t="str">
        <f t="shared" si="1"/>
        <v>Offline</v>
      </c>
      <c r="I25" s="24">
        <v>7</v>
      </c>
      <c r="J25" s="24">
        <f t="shared" si="2"/>
        <v>7</v>
      </c>
      <c r="K25" s="35">
        <f t="shared" si="4"/>
        <v>0.35</v>
      </c>
      <c r="L25" s="24">
        <f t="shared" si="5"/>
        <v>0.13999999999999999</v>
      </c>
      <c r="M25" s="41"/>
      <c r="N25" s="24" t="s">
        <v>69</v>
      </c>
      <c r="O25" s="42">
        <v>9</v>
      </c>
      <c r="P25" s="24">
        <v>0.42</v>
      </c>
      <c r="Q25" s="24">
        <f t="shared" si="6"/>
        <v>4.6666666666666662E-2</v>
      </c>
      <c r="R25" s="35">
        <f t="shared" si="7"/>
        <v>38</v>
      </c>
      <c r="S25" s="24" t="str">
        <f t="shared" si="8"/>
        <v>D</v>
      </c>
      <c r="T25" s="10"/>
      <c r="U25" s="10"/>
      <c r="V25" s="10"/>
      <c r="W25" s="10"/>
      <c r="X25" s="10"/>
      <c r="Y25" s="10"/>
      <c r="Z25" s="10"/>
      <c r="AA25" s="10"/>
    </row>
    <row r="26" spans="1:27" s="34" customFormat="1" ht="15.75" customHeight="1" x14ac:dyDescent="0.3">
      <c r="A26" s="24" t="str">
        <f t="shared" si="3"/>
        <v>L002S014</v>
      </c>
      <c r="B26" s="32" t="s">
        <v>42</v>
      </c>
      <c r="C26" s="33" t="s">
        <v>46</v>
      </c>
      <c r="D26" s="33" t="s">
        <v>29</v>
      </c>
      <c r="E26" s="24" t="str">
        <f t="shared" si="9"/>
        <v>Foundations of ML</v>
      </c>
      <c r="F26" s="24" t="str">
        <f t="shared" si="9"/>
        <v>IN_2</v>
      </c>
      <c r="G26" s="24" t="str">
        <f t="shared" si="9"/>
        <v>Theory Session</v>
      </c>
      <c r="H26" s="24" t="str">
        <f t="shared" si="1"/>
        <v>Online</v>
      </c>
      <c r="I26" s="24">
        <v>0</v>
      </c>
      <c r="J26" s="24">
        <f t="shared" si="2"/>
        <v>0</v>
      </c>
      <c r="K26" s="35">
        <f t="shared" si="4"/>
        <v>0</v>
      </c>
      <c r="L26" s="24">
        <f t="shared" si="5"/>
        <v>0</v>
      </c>
      <c r="M26" s="41"/>
      <c r="N26" s="24" t="s">
        <v>70</v>
      </c>
      <c r="O26" s="42">
        <v>7</v>
      </c>
      <c r="P26" s="24">
        <v>0.8</v>
      </c>
      <c r="Q26" s="24">
        <f t="shared" si="6"/>
        <v>0.1142857142857143</v>
      </c>
      <c r="R26" s="35">
        <f t="shared" si="7"/>
        <v>8</v>
      </c>
      <c r="S26" s="24" t="str">
        <f t="shared" si="8"/>
        <v>A</v>
      </c>
    </row>
    <row r="27" spans="1:27" s="34" customFormat="1" ht="15.75" customHeight="1" x14ac:dyDescent="0.3">
      <c r="A27" s="24" t="str">
        <f t="shared" si="3"/>
        <v>L002S004</v>
      </c>
      <c r="B27" s="32" t="s">
        <v>42</v>
      </c>
      <c r="C27" s="33" t="s">
        <v>47</v>
      </c>
      <c r="D27" s="33" t="s">
        <v>26</v>
      </c>
      <c r="E27" s="24" t="str">
        <f t="shared" si="9"/>
        <v>Foundations of ML</v>
      </c>
      <c r="F27" s="24" t="str">
        <f t="shared" si="9"/>
        <v>IN_4</v>
      </c>
      <c r="G27" s="24" t="str">
        <f t="shared" si="9"/>
        <v>Workshop</v>
      </c>
      <c r="H27" s="24" t="str">
        <f t="shared" si="1"/>
        <v>Online</v>
      </c>
      <c r="I27" s="24">
        <v>0</v>
      </c>
      <c r="J27" s="24">
        <f t="shared" si="2"/>
        <v>0</v>
      </c>
      <c r="K27" s="35">
        <f t="shared" si="4"/>
        <v>0</v>
      </c>
      <c r="L27" s="24">
        <f t="shared" si="5"/>
        <v>0</v>
      </c>
      <c r="M27" s="41"/>
      <c r="N27" s="24" t="s">
        <v>71</v>
      </c>
      <c r="O27" s="42">
        <v>12</v>
      </c>
      <c r="P27" s="24">
        <v>0.66</v>
      </c>
      <c r="Q27" s="24">
        <f t="shared" si="6"/>
        <v>5.5E-2</v>
      </c>
      <c r="R27" s="35">
        <f t="shared" si="7"/>
        <v>33</v>
      </c>
      <c r="S27" s="24" t="str">
        <f t="shared" si="8"/>
        <v>D</v>
      </c>
    </row>
    <row r="28" spans="1:27" s="34" customFormat="1" ht="15.75" customHeight="1" x14ac:dyDescent="0.3">
      <c r="A28" s="24" t="str">
        <f t="shared" si="3"/>
        <v>L002S002</v>
      </c>
      <c r="B28" s="32" t="s">
        <v>42</v>
      </c>
      <c r="C28" s="33" t="s">
        <v>31</v>
      </c>
      <c r="D28" s="33" t="s">
        <v>26</v>
      </c>
      <c r="E28" s="24" t="str">
        <f t="shared" si="9"/>
        <v>CS Fundamentals</v>
      </c>
      <c r="F28" s="24" t="str">
        <f t="shared" si="9"/>
        <v>IN_3</v>
      </c>
      <c r="G28" s="24" t="str">
        <f t="shared" si="9"/>
        <v>Practical</v>
      </c>
      <c r="H28" s="24" t="str">
        <f t="shared" si="1"/>
        <v>Offline</v>
      </c>
      <c r="I28" s="24">
        <v>7</v>
      </c>
      <c r="J28" s="24">
        <f t="shared" si="2"/>
        <v>7</v>
      </c>
      <c r="K28" s="35">
        <f t="shared" si="4"/>
        <v>0.35</v>
      </c>
      <c r="L28" s="24">
        <f t="shared" si="5"/>
        <v>0.13999999999999999</v>
      </c>
      <c r="M28" s="41"/>
      <c r="N28" s="24" t="s">
        <v>72</v>
      </c>
      <c r="O28" s="42">
        <v>5</v>
      </c>
      <c r="P28" s="24">
        <v>0.6100000000000001</v>
      </c>
      <c r="Q28" s="24">
        <f t="shared" si="6"/>
        <v>0.12200000000000003</v>
      </c>
      <c r="R28" s="35">
        <f t="shared" si="7"/>
        <v>6</v>
      </c>
      <c r="S28" s="24" t="str">
        <f t="shared" si="8"/>
        <v>A</v>
      </c>
    </row>
    <row r="29" spans="1:27" s="34" customFormat="1" ht="15.75" customHeight="1" x14ac:dyDescent="0.3">
      <c r="A29" s="24" t="str">
        <f t="shared" si="3"/>
        <v>L003S006</v>
      </c>
      <c r="B29" s="32" t="s">
        <v>48</v>
      </c>
      <c r="C29" s="33" t="s">
        <v>40</v>
      </c>
      <c r="D29" s="33" t="s">
        <v>26</v>
      </c>
      <c r="E29" s="24" t="str">
        <f t="shared" si="9"/>
        <v>Communication</v>
      </c>
      <c r="F29" s="24" t="str">
        <f t="shared" si="9"/>
        <v>IN_6</v>
      </c>
      <c r="G29" s="24" t="str">
        <f t="shared" si="9"/>
        <v>Theory Session</v>
      </c>
      <c r="H29" s="24" t="str">
        <f t="shared" si="1"/>
        <v>Online</v>
      </c>
      <c r="I29" s="24">
        <v>0</v>
      </c>
      <c r="J29" s="24">
        <f t="shared" si="2"/>
        <v>0</v>
      </c>
      <c r="K29" s="35">
        <f t="shared" si="4"/>
        <v>0</v>
      </c>
      <c r="L29" s="24">
        <f t="shared" si="5"/>
        <v>0</v>
      </c>
      <c r="M29" s="41"/>
      <c r="N29" s="24" t="s">
        <v>73</v>
      </c>
      <c r="O29" s="42">
        <v>9</v>
      </c>
      <c r="P29" s="24">
        <v>0.74</v>
      </c>
      <c r="Q29" s="24">
        <f t="shared" si="6"/>
        <v>8.2222222222222224E-2</v>
      </c>
      <c r="R29" s="35">
        <f t="shared" si="7"/>
        <v>23</v>
      </c>
      <c r="S29" s="24" t="str">
        <f t="shared" si="8"/>
        <v>C</v>
      </c>
    </row>
    <row r="30" spans="1:27" s="34" customFormat="1" ht="15.75" customHeight="1" x14ac:dyDescent="0.3">
      <c r="A30" s="24" t="str">
        <f t="shared" si="3"/>
        <v>L003S018</v>
      </c>
      <c r="B30" s="32" t="s">
        <v>48</v>
      </c>
      <c r="C30" s="33" t="s">
        <v>25</v>
      </c>
      <c r="D30" s="33" t="s">
        <v>26</v>
      </c>
      <c r="E30" s="24" t="str">
        <f t="shared" si="9"/>
        <v>CS Fundamentals</v>
      </c>
      <c r="F30" s="24" t="str">
        <f t="shared" si="9"/>
        <v>IN_5</v>
      </c>
      <c r="G30" s="24" t="str">
        <f t="shared" si="9"/>
        <v>Practical</v>
      </c>
      <c r="H30" s="24" t="str">
        <f t="shared" si="1"/>
        <v>Online</v>
      </c>
      <c r="I30" s="24">
        <v>0</v>
      </c>
      <c r="J30" s="24">
        <f t="shared" si="2"/>
        <v>0</v>
      </c>
      <c r="K30" s="35">
        <f t="shared" si="4"/>
        <v>0</v>
      </c>
      <c r="L30" s="24">
        <f t="shared" si="5"/>
        <v>0</v>
      </c>
      <c r="M30" s="41"/>
      <c r="N30" s="24" t="s">
        <v>74</v>
      </c>
      <c r="O30" s="42">
        <v>11</v>
      </c>
      <c r="P30" s="24">
        <v>0.54</v>
      </c>
      <c r="Q30" s="24">
        <f t="shared" si="6"/>
        <v>4.9090909090909095E-2</v>
      </c>
      <c r="R30" s="35">
        <f t="shared" si="7"/>
        <v>36</v>
      </c>
      <c r="S30" s="24" t="str">
        <f t="shared" si="8"/>
        <v>D</v>
      </c>
    </row>
    <row r="31" spans="1:27" s="34" customFormat="1" ht="15.75" customHeight="1" x14ac:dyDescent="0.3">
      <c r="A31" s="24" t="str">
        <f t="shared" si="3"/>
        <v>L003S015</v>
      </c>
      <c r="B31" s="32" t="s">
        <v>48</v>
      </c>
      <c r="C31" s="33" t="s">
        <v>41</v>
      </c>
      <c r="D31" s="33" t="s">
        <v>26</v>
      </c>
      <c r="E31" s="24" t="str">
        <f t="shared" si="9"/>
        <v>Foundations of ML</v>
      </c>
      <c r="F31" s="24" t="str">
        <f t="shared" si="9"/>
        <v>IN_4</v>
      </c>
      <c r="G31" s="24" t="str">
        <f t="shared" si="9"/>
        <v>Practical</v>
      </c>
      <c r="H31" s="24" t="str">
        <f t="shared" si="1"/>
        <v>Offline</v>
      </c>
      <c r="I31" s="24">
        <v>12</v>
      </c>
      <c r="J31" s="24">
        <f t="shared" si="2"/>
        <v>12</v>
      </c>
      <c r="K31" s="35">
        <f t="shared" si="4"/>
        <v>0.6</v>
      </c>
      <c r="L31" s="24">
        <f t="shared" si="5"/>
        <v>0.24</v>
      </c>
      <c r="M31" s="41"/>
      <c r="N31" s="24" t="s">
        <v>75</v>
      </c>
      <c r="O31" s="42">
        <v>5</v>
      </c>
      <c r="P31" s="24">
        <v>0</v>
      </c>
      <c r="Q31" s="24">
        <f t="shared" si="6"/>
        <v>0</v>
      </c>
      <c r="R31" s="35">
        <f t="shared" si="7"/>
        <v>49</v>
      </c>
      <c r="S31" s="24" t="str">
        <f t="shared" si="8"/>
        <v>D</v>
      </c>
    </row>
    <row r="32" spans="1:27" s="34" customFormat="1" ht="15.75" customHeight="1" x14ac:dyDescent="0.3">
      <c r="A32" s="24" t="str">
        <f t="shared" si="3"/>
        <v>L003S019</v>
      </c>
      <c r="B32" s="32" t="s">
        <v>48</v>
      </c>
      <c r="C32" s="33" t="s">
        <v>38</v>
      </c>
      <c r="D32" s="33" t="s">
        <v>29</v>
      </c>
      <c r="E32" s="24" t="str">
        <f t="shared" si="9"/>
        <v>CS Fundamentals</v>
      </c>
      <c r="F32" s="24" t="str">
        <f t="shared" si="9"/>
        <v>IN_6</v>
      </c>
      <c r="G32" s="24" t="str">
        <f t="shared" si="9"/>
        <v>Workshop</v>
      </c>
      <c r="H32" s="24" t="str">
        <f t="shared" si="1"/>
        <v>Offline</v>
      </c>
      <c r="I32" s="24">
        <v>0</v>
      </c>
      <c r="J32" s="24">
        <f t="shared" si="2"/>
        <v>0</v>
      </c>
      <c r="K32" s="35">
        <f t="shared" si="4"/>
        <v>0</v>
      </c>
      <c r="L32" s="24">
        <f t="shared" si="5"/>
        <v>0</v>
      </c>
      <c r="M32" s="41"/>
      <c r="N32" s="24" t="s">
        <v>76</v>
      </c>
      <c r="O32" s="42">
        <v>13</v>
      </c>
      <c r="P32" s="24">
        <v>1.1800000000000002</v>
      </c>
      <c r="Q32" s="24">
        <f t="shared" si="6"/>
        <v>9.0769230769230783E-2</v>
      </c>
      <c r="R32" s="35">
        <f t="shared" si="7"/>
        <v>17</v>
      </c>
      <c r="S32" s="24" t="str">
        <f t="shared" si="8"/>
        <v>B</v>
      </c>
    </row>
    <row r="33" spans="1:19" s="34" customFormat="1" ht="15.75" customHeight="1" x14ac:dyDescent="0.3">
      <c r="A33" s="24" t="str">
        <f t="shared" si="3"/>
        <v>L003S009</v>
      </c>
      <c r="B33" s="32" t="s">
        <v>48</v>
      </c>
      <c r="C33" s="33" t="s">
        <v>45</v>
      </c>
      <c r="D33" s="33" t="s">
        <v>29</v>
      </c>
      <c r="E33" s="24" t="str">
        <f t="shared" si="9"/>
        <v>Communication</v>
      </c>
      <c r="F33" s="24" t="str">
        <f t="shared" si="9"/>
        <v>IN_6</v>
      </c>
      <c r="G33" s="24" t="str">
        <f t="shared" si="9"/>
        <v>Workshop</v>
      </c>
      <c r="H33" s="24" t="str">
        <f t="shared" si="1"/>
        <v>Offline</v>
      </c>
      <c r="I33" s="24">
        <v>5</v>
      </c>
      <c r="J33" s="24">
        <f t="shared" si="2"/>
        <v>0</v>
      </c>
      <c r="K33" s="35">
        <f t="shared" si="4"/>
        <v>0</v>
      </c>
      <c r="L33" s="24">
        <f t="shared" si="5"/>
        <v>0</v>
      </c>
      <c r="M33" s="41"/>
      <c r="N33" s="24" t="s">
        <v>77</v>
      </c>
      <c r="O33" s="42">
        <v>7</v>
      </c>
      <c r="P33" s="24">
        <v>0.41000000000000003</v>
      </c>
      <c r="Q33" s="24">
        <f t="shared" si="6"/>
        <v>5.8571428571428573E-2</v>
      </c>
      <c r="R33" s="35">
        <f t="shared" si="7"/>
        <v>31</v>
      </c>
      <c r="S33" s="24" t="str">
        <f t="shared" si="8"/>
        <v>D</v>
      </c>
    </row>
    <row r="34" spans="1:19" s="34" customFormat="1" ht="15.75" customHeight="1" x14ac:dyDescent="0.3">
      <c r="A34" s="24" t="str">
        <f t="shared" si="3"/>
        <v>L003S020</v>
      </c>
      <c r="B34" s="32" t="s">
        <v>48</v>
      </c>
      <c r="C34" s="33" t="s">
        <v>30</v>
      </c>
      <c r="D34" s="33" t="s">
        <v>29</v>
      </c>
      <c r="E34" s="24" t="str">
        <f t="shared" si="9"/>
        <v>Foundations of ML</v>
      </c>
      <c r="F34" s="24" t="str">
        <f t="shared" si="9"/>
        <v>IN_4</v>
      </c>
      <c r="G34" s="24" t="str">
        <f t="shared" si="9"/>
        <v>Workshop</v>
      </c>
      <c r="H34" s="24" t="str">
        <f t="shared" si="1"/>
        <v>Online</v>
      </c>
      <c r="I34" s="24">
        <v>0</v>
      </c>
      <c r="J34" s="24">
        <f t="shared" si="2"/>
        <v>0</v>
      </c>
      <c r="K34" s="35">
        <f t="shared" si="4"/>
        <v>0</v>
      </c>
      <c r="L34" s="24">
        <f t="shared" si="5"/>
        <v>0</v>
      </c>
      <c r="M34" s="41"/>
      <c r="N34" s="24" t="s">
        <v>78</v>
      </c>
      <c r="O34" s="42">
        <v>8</v>
      </c>
      <c r="P34" s="24">
        <v>0.96000000000000019</v>
      </c>
      <c r="Q34" s="24">
        <f t="shared" si="6"/>
        <v>0.12000000000000002</v>
      </c>
      <c r="R34" s="35">
        <f t="shared" si="7"/>
        <v>7</v>
      </c>
      <c r="S34" s="24" t="str">
        <f t="shared" si="8"/>
        <v>A</v>
      </c>
    </row>
    <row r="35" spans="1:19" s="34" customFormat="1" ht="15.75" customHeight="1" x14ac:dyDescent="0.3">
      <c r="A35" s="24" t="str">
        <f t="shared" si="3"/>
        <v>L003S008</v>
      </c>
      <c r="B35" s="32" t="s">
        <v>48</v>
      </c>
      <c r="C35" s="33" t="s">
        <v>32</v>
      </c>
      <c r="D35" s="33" t="s">
        <v>26</v>
      </c>
      <c r="E35" s="24" t="str">
        <f t="shared" si="9"/>
        <v>CS Fundamentals</v>
      </c>
      <c r="F35" s="24" t="str">
        <f t="shared" si="9"/>
        <v>IN_2</v>
      </c>
      <c r="G35" s="24" t="str">
        <f t="shared" si="9"/>
        <v>Practical</v>
      </c>
      <c r="H35" s="24" t="str">
        <f t="shared" si="1"/>
        <v>Online</v>
      </c>
      <c r="I35" s="24">
        <v>0</v>
      </c>
      <c r="J35" s="24">
        <f t="shared" si="2"/>
        <v>0</v>
      </c>
      <c r="K35" s="35">
        <f t="shared" si="4"/>
        <v>0</v>
      </c>
      <c r="L35" s="24">
        <f t="shared" si="5"/>
        <v>0</v>
      </c>
      <c r="M35" s="41"/>
      <c r="N35" s="24" t="s">
        <v>79</v>
      </c>
      <c r="O35" s="42">
        <v>6</v>
      </c>
      <c r="P35" s="24">
        <v>9.0000000000000011E-2</v>
      </c>
      <c r="Q35" s="24">
        <f t="shared" si="6"/>
        <v>1.5000000000000001E-2</v>
      </c>
      <c r="R35" s="35">
        <f t="shared" si="7"/>
        <v>47</v>
      </c>
      <c r="S35" s="24" t="str">
        <f t="shared" si="8"/>
        <v>D</v>
      </c>
    </row>
    <row r="36" spans="1:19" s="34" customFormat="1" ht="15.75" customHeight="1" x14ac:dyDescent="0.3">
      <c r="A36" s="24" t="str">
        <f t="shared" si="3"/>
        <v>L003S007</v>
      </c>
      <c r="B36" s="32" t="s">
        <v>48</v>
      </c>
      <c r="C36" s="33" t="s">
        <v>35</v>
      </c>
      <c r="D36" s="33" t="s">
        <v>26</v>
      </c>
      <c r="E36" s="24" t="str">
        <f t="shared" si="9"/>
        <v>Communication</v>
      </c>
      <c r="F36" s="24" t="str">
        <f t="shared" si="9"/>
        <v>IN_1</v>
      </c>
      <c r="G36" s="24" t="str">
        <f t="shared" si="9"/>
        <v>Practical</v>
      </c>
      <c r="H36" s="24" t="str">
        <f t="shared" si="1"/>
        <v>Offline</v>
      </c>
      <c r="I36" s="24">
        <v>17</v>
      </c>
      <c r="J36" s="24">
        <f t="shared" si="2"/>
        <v>17</v>
      </c>
      <c r="K36" s="35">
        <f t="shared" si="4"/>
        <v>0.85</v>
      </c>
      <c r="L36" s="24">
        <f t="shared" si="5"/>
        <v>0.34</v>
      </c>
      <c r="M36" s="41"/>
      <c r="N36" s="24" t="s">
        <v>80</v>
      </c>
      <c r="O36" s="42">
        <v>13</v>
      </c>
      <c r="P36" s="24">
        <v>1.07</v>
      </c>
      <c r="Q36" s="24">
        <f t="shared" si="6"/>
        <v>8.2307692307692318E-2</v>
      </c>
      <c r="R36" s="35">
        <f t="shared" si="7"/>
        <v>22</v>
      </c>
      <c r="S36" s="24" t="str">
        <f t="shared" si="8"/>
        <v>C</v>
      </c>
    </row>
    <row r="37" spans="1:19" s="34" customFormat="1" ht="15.75" customHeight="1" x14ac:dyDescent="0.3">
      <c r="A37" s="24" t="str">
        <f t="shared" si="3"/>
        <v>L003S011</v>
      </c>
      <c r="B37" s="32" t="s">
        <v>48</v>
      </c>
      <c r="C37" s="33" t="s">
        <v>39</v>
      </c>
      <c r="D37" s="33" t="s">
        <v>26</v>
      </c>
      <c r="E37" s="24" t="str">
        <f t="shared" si="9"/>
        <v>Algebra Basics</v>
      </c>
      <c r="F37" s="24" t="str">
        <f t="shared" si="9"/>
        <v>IN_4</v>
      </c>
      <c r="G37" s="24" t="str">
        <f t="shared" si="9"/>
        <v>Theory Session</v>
      </c>
      <c r="H37" s="24" t="str">
        <f t="shared" si="1"/>
        <v>Online</v>
      </c>
      <c r="I37" s="24">
        <v>15</v>
      </c>
      <c r="J37" s="24">
        <f t="shared" si="2"/>
        <v>15</v>
      </c>
      <c r="K37" s="35">
        <f t="shared" si="4"/>
        <v>0.75</v>
      </c>
      <c r="L37" s="24">
        <f t="shared" si="5"/>
        <v>0.30000000000000004</v>
      </c>
      <c r="M37" s="41"/>
      <c r="N37" s="24" t="s">
        <v>81</v>
      </c>
      <c r="O37" s="42">
        <v>11</v>
      </c>
      <c r="P37" s="24">
        <v>0.42000000000000004</v>
      </c>
      <c r="Q37" s="24">
        <f t="shared" si="6"/>
        <v>3.8181818181818185E-2</v>
      </c>
      <c r="R37" s="35">
        <f t="shared" si="7"/>
        <v>42</v>
      </c>
      <c r="S37" s="24" t="str">
        <f t="shared" si="8"/>
        <v>D</v>
      </c>
    </row>
    <row r="38" spans="1:19" s="34" customFormat="1" ht="15.75" customHeight="1" x14ac:dyDescent="0.3">
      <c r="A38" s="24" t="str">
        <f t="shared" si="3"/>
        <v>L004S013</v>
      </c>
      <c r="B38" s="32" t="s">
        <v>49</v>
      </c>
      <c r="C38" s="33" t="s">
        <v>44</v>
      </c>
      <c r="D38" s="33" t="s">
        <v>26</v>
      </c>
      <c r="E38" s="24" t="str">
        <f t="shared" si="9"/>
        <v>Algebra Basics</v>
      </c>
      <c r="F38" s="24" t="str">
        <f t="shared" si="9"/>
        <v>IN_3</v>
      </c>
      <c r="G38" s="24" t="str">
        <f t="shared" si="9"/>
        <v>Workshop</v>
      </c>
      <c r="H38" s="24" t="str">
        <f t="shared" si="1"/>
        <v>Offline</v>
      </c>
      <c r="I38" s="24">
        <v>11</v>
      </c>
      <c r="J38" s="24">
        <f t="shared" si="2"/>
        <v>11</v>
      </c>
      <c r="K38" s="35">
        <f t="shared" si="4"/>
        <v>0.55000000000000004</v>
      </c>
      <c r="L38" s="24">
        <f t="shared" si="5"/>
        <v>0.11000000000000001</v>
      </c>
      <c r="M38" s="41"/>
      <c r="N38" s="24" t="s">
        <v>82</v>
      </c>
      <c r="O38" s="42">
        <v>9</v>
      </c>
      <c r="P38" s="24">
        <v>0.38</v>
      </c>
      <c r="Q38" s="24">
        <f t="shared" si="6"/>
        <v>4.2222222222222223E-2</v>
      </c>
      <c r="R38" s="35">
        <f t="shared" si="7"/>
        <v>41</v>
      </c>
      <c r="S38" s="24" t="str">
        <f t="shared" si="8"/>
        <v>D</v>
      </c>
    </row>
    <row r="39" spans="1:19" s="34" customFormat="1" ht="15.75" customHeight="1" x14ac:dyDescent="0.3">
      <c r="A39" s="24" t="str">
        <f t="shared" si="3"/>
        <v>L004S018</v>
      </c>
      <c r="B39" s="32" t="s">
        <v>49</v>
      </c>
      <c r="C39" s="33" t="s">
        <v>25</v>
      </c>
      <c r="D39" s="33" t="s">
        <v>26</v>
      </c>
      <c r="E39" s="24" t="str">
        <f t="shared" si="9"/>
        <v>CS Fundamentals</v>
      </c>
      <c r="F39" s="24" t="str">
        <f t="shared" si="9"/>
        <v>IN_5</v>
      </c>
      <c r="G39" s="24" t="str">
        <f t="shared" si="9"/>
        <v>Practical</v>
      </c>
      <c r="H39" s="24" t="str">
        <f t="shared" si="1"/>
        <v>Online</v>
      </c>
      <c r="I39" s="24">
        <v>0</v>
      </c>
      <c r="J39" s="24">
        <f t="shared" si="2"/>
        <v>0</v>
      </c>
      <c r="K39" s="35">
        <f t="shared" si="4"/>
        <v>0</v>
      </c>
      <c r="L39" s="24">
        <f t="shared" si="5"/>
        <v>0</v>
      </c>
      <c r="M39" s="41"/>
      <c r="N39" s="24" t="s">
        <v>83</v>
      </c>
      <c r="O39" s="42">
        <v>10</v>
      </c>
      <c r="P39" s="24">
        <v>0.36000000000000004</v>
      </c>
      <c r="Q39" s="24">
        <f t="shared" si="6"/>
        <v>3.6000000000000004E-2</v>
      </c>
      <c r="R39" s="35">
        <f t="shared" si="7"/>
        <v>44</v>
      </c>
      <c r="S39" s="24" t="str">
        <f t="shared" si="8"/>
        <v>D</v>
      </c>
    </row>
    <row r="40" spans="1:19" s="34" customFormat="1" ht="15.75" customHeight="1" x14ac:dyDescent="0.3">
      <c r="A40" s="24" t="str">
        <f t="shared" si="3"/>
        <v>L004S016</v>
      </c>
      <c r="B40" s="32" t="s">
        <v>49</v>
      </c>
      <c r="C40" s="33" t="s">
        <v>27</v>
      </c>
      <c r="D40" s="33" t="s">
        <v>26</v>
      </c>
      <c r="E40" s="24" t="str">
        <f t="shared" si="9"/>
        <v>Algebra Basics</v>
      </c>
      <c r="F40" s="24" t="str">
        <f t="shared" si="9"/>
        <v>IN_2</v>
      </c>
      <c r="G40" s="24" t="str">
        <f t="shared" si="9"/>
        <v>Workshop</v>
      </c>
      <c r="H40" s="24" t="str">
        <f t="shared" si="1"/>
        <v>Offline</v>
      </c>
      <c r="I40" s="24">
        <v>0</v>
      </c>
      <c r="J40" s="24">
        <f t="shared" si="2"/>
        <v>0</v>
      </c>
      <c r="K40" s="35">
        <f t="shared" si="4"/>
        <v>0</v>
      </c>
      <c r="L40" s="24">
        <f t="shared" si="5"/>
        <v>0</v>
      </c>
      <c r="M40" s="41"/>
      <c r="N40" s="24" t="s">
        <v>84</v>
      </c>
      <c r="O40" s="42">
        <v>14</v>
      </c>
      <c r="P40" s="24">
        <v>1.36</v>
      </c>
      <c r="Q40" s="24">
        <f t="shared" si="6"/>
        <v>9.7142857142857156E-2</v>
      </c>
      <c r="R40" s="35">
        <f t="shared" si="7"/>
        <v>14</v>
      </c>
      <c r="S40" s="24" t="str">
        <f t="shared" si="8"/>
        <v>B</v>
      </c>
    </row>
    <row r="41" spans="1:19" s="34" customFormat="1" ht="15.75" customHeight="1" x14ac:dyDescent="0.3">
      <c r="A41" s="24" t="str">
        <f t="shared" si="3"/>
        <v>L004S003</v>
      </c>
      <c r="B41" s="32" t="s">
        <v>49</v>
      </c>
      <c r="C41" s="33" t="s">
        <v>50</v>
      </c>
      <c r="D41" s="33" t="s">
        <v>37</v>
      </c>
      <c r="E41" s="24" t="str">
        <f t="shared" si="9"/>
        <v>Algebra Basics</v>
      </c>
      <c r="F41" s="24" t="str">
        <f t="shared" si="9"/>
        <v>IN_7</v>
      </c>
      <c r="G41" s="24" t="str">
        <f t="shared" si="9"/>
        <v>Workshop</v>
      </c>
      <c r="H41" s="24" t="str">
        <f t="shared" si="1"/>
        <v>Offline</v>
      </c>
      <c r="I41" s="24">
        <v>0</v>
      </c>
      <c r="J41" s="24">
        <f t="shared" si="2"/>
        <v>0</v>
      </c>
      <c r="K41" s="35">
        <f t="shared" si="4"/>
        <v>0</v>
      </c>
      <c r="L41" s="24">
        <f t="shared" si="5"/>
        <v>0</v>
      </c>
      <c r="M41" s="41"/>
      <c r="N41" s="24" t="s">
        <v>85</v>
      </c>
      <c r="O41" s="42">
        <v>6</v>
      </c>
      <c r="P41" s="24">
        <v>0.33000000000000007</v>
      </c>
      <c r="Q41" s="24">
        <f t="shared" si="6"/>
        <v>5.5000000000000014E-2</v>
      </c>
      <c r="R41" s="35">
        <f t="shared" si="7"/>
        <v>32</v>
      </c>
      <c r="S41" s="24" t="str">
        <f t="shared" si="8"/>
        <v>D</v>
      </c>
    </row>
    <row r="42" spans="1:19" s="34" customFormat="1" ht="15.75" customHeight="1" x14ac:dyDescent="0.3">
      <c r="A42" s="24" t="str">
        <f t="shared" si="3"/>
        <v>L004S009</v>
      </c>
      <c r="B42" s="32" t="s">
        <v>49</v>
      </c>
      <c r="C42" s="33" t="s">
        <v>45</v>
      </c>
      <c r="D42" s="33" t="s">
        <v>26</v>
      </c>
      <c r="E42" s="24" t="str">
        <f t="shared" si="9"/>
        <v>Communication</v>
      </c>
      <c r="F42" s="24" t="str">
        <f t="shared" si="9"/>
        <v>IN_6</v>
      </c>
      <c r="G42" s="24" t="str">
        <f t="shared" si="9"/>
        <v>Workshop</v>
      </c>
      <c r="H42" s="24" t="str">
        <f t="shared" si="1"/>
        <v>Offline</v>
      </c>
      <c r="I42" s="24">
        <v>0</v>
      </c>
      <c r="J42" s="24">
        <f t="shared" si="2"/>
        <v>0</v>
      </c>
      <c r="K42" s="35">
        <f t="shared" si="4"/>
        <v>0</v>
      </c>
      <c r="L42" s="24">
        <f t="shared" si="5"/>
        <v>0</v>
      </c>
      <c r="M42" s="41"/>
      <c r="N42" s="24" t="s">
        <v>86</v>
      </c>
      <c r="O42" s="42">
        <v>10</v>
      </c>
      <c r="P42" s="24">
        <v>1.5000000000000002</v>
      </c>
      <c r="Q42" s="24">
        <f t="shared" si="6"/>
        <v>0.15000000000000002</v>
      </c>
      <c r="R42" s="35">
        <f t="shared" si="7"/>
        <v>2</v>
      </c>
      <c r="S42" s="24" t="str">
        <f t="shared" si="8"/>
        <v>AA</v>
      </c>
    </row>
    <row r="43" spans="1:19" s="34" customFormat="1" ht="15.75" customHeight="1" x14ac:dyDescent="0.3">
      <c r="A43" s="24" t="str">
        <f t="shared" si="3"/>
        <v>L004S012</v>
      </c>
      <c r="B43" s="32" t="s">
        <v>49</v>
      </c>
      <c r="C43" s="33" t="s">
        <v>33</v>
      </c>
      <c r="D43" s="33" t="s">
        <v>29</v>
      </c>
      <c r="E43" s="24" t="str">
        <f t="shared" ref="E43:G62" si="10">VLOOKUP($C43,session_details,E$1,FALSE)</f>
        <v>Foundations of ML</v>
      </c>
      <c r="F43" s="24" t="str">
        <f t="shared" si="10"/>
        <v>IN_1</v>
      </c>
      <c r="G43" s="24" t="str">
        <f t="shared" si="10"/>
        <v>Workshop</v>
      </c>
      <c r="H43" s="24" t="str">
        <f t="shared" si="1"/>
        <v>Offline</v>
      </c>
      <c r="I43" s="24">
        <v>0</v>
      </c>
      <c r="J43" s="24">
        <f t="shared" si="2"/>
        <v>0</v>
      </c>
      <c r="K43" s="35">
        <f t="shared" si="4"/>
        <v>0</v>
      </c>
      <c r="L43" s="24">
        <f t="shared" si="5"/>
        <v>0</v>
      </c>
      <c r="M43" s="41"/>
      <c r="N43" s="24" t="s">
        <v>87</v>
      </c>
      <c r="O43" s="42">
        <v>11</v>
      </c>
      <c r="P43" s="24">
        <v>1.1499999999999999</v>
      </c>
      <c r="Q43" s="24">
        <f t="shared" si="6"/>
        <v>0.10454545454545454</v>
      </c>
      <c r="R43" s="35">
        <f t="shared" si="7"/>
        <v>11</v>
      </c>
      <c r="S43" s="24" t="str">
        <f t="shared" si="8"/>
        <v>B</v>
      </c>
    </row>
    <row r="44" spans="1:19" s="34" customFormat="1" ht="15.75" customHeight="1" x14ac:dyDescent="0.3">
      <c r="A44" s="24" t="str">
        <f t="shared" si="3"/>
        <v>L004S005</v>
      </c>
      <c r="B44" s="32" t="s">
        <v>49</v>
      </c>
      <c r="C44" s="33" t="s">
        <v>36</v>
      </c>
      <c r="D44" s="33" t="s">
        <v>29</v>
      </c>
      <c r="E44" s="24" t="str">
        <f t="shared" si="10"/>
        <v>Algebra Basics</v>
      </c>
      <c r="F44" s="24" t="str">
        <f t="shared" si="10"/>
        <v>IN_4</v>
      </c>
      <c r="G44" s="24" t="str">
        <f t="shared" si="10"/>
        <v>Workshop</v>
      </c>
      <c r="H44" s="24" t="str">
        <f t="shared" si="1"/>
        <v>Online</v>
      </c>
      <c r="I44" s="24">
        <v>16</v>
      </c>
      <c r="J44" s="24">
        <f t="shared" si="2"/>
        <v>11</v>
      </c>
      <c r="K44" s="35">
        <f t="shared" si="4"/>
        <v>0.55000000000000004</v>
      </c>
      <c r="L44" s="24">
        <f t="shared" si="5"/>
        <v>0.11000000000000001</v>
      </c>
      <c r="M44" s="41"/>
      <c r="N44" s="24" t="s">
        <v>88</v>
      </c>
      <c r="O44" s="42">
        <v>13</v>
      </c>
      <c r="P44" s="24">
        <v>0.9700000000000002</v>
      </c>
      <c r="Q44" s="24">
        <f t="shared" si="6"/>
        <v>7.4615384615384625E-2</v>
      </c>
      <c r="R44" s="35">
        <f t="shared" si="7"/>
        <v>26</v>
      </c>
      <c r="S44" s="24" t="str">
        <f t="shared" si="8"/>
        <v>C</v>
      </c>
    </row>
    <row r="45" spans="1:19" s="34" customFormat="1" ht="15.75" customHeight="1" x14ac:dyDescent="0.3">
      <c r="A45" s="24" t="str">
        <f t="shared" si="3"/>
        <v>L005S009</v>
      </c>
      <c r="B45" s="32" t="s">
        <v>51</v>
      </c>
      <c r="C45" s="33" t="s">
        <v>45</v>
      </c>
      <c r="D45" s="33" t="s">
        <v>37</v>
      </c>
      <c r="E45" s="24" t="str">
        <f t="shared" si="10"/>
        <v>Communication</v>
      </c>
      <c r="F45" s="24" t="str">
        <f t="shared" si="10"/>
        <v>IN_6</v>
      </c>
      <c r="G45" s="24" t="str">
        <f t="shared" si="10"/>
        <v>Workshop</v>
      </c>
      <c r="H45" s="24" t="str">
        <f t="shared" si="1"/>
        <v>Offline</v>
      </c>
      <c r="I45" s="24">
        <v>0</v>
      </c>
      <c r="J45" s="24">
        <f t="shared" si="2"/>
        <v>0</v>
      </c>
      <c r="K45" s="35">
        <f t="shared" si="4"/>
        <v>0</v>
      </c>
      <c r="L45" s="24">
        <f t="shared" si="5"/>
        <v>0</v>
      </c>
      <c r="M45" s="41"/>
      <c r="N45" s="24" t="s">
        <v>89</v>
      </c>
      <c r="O45" s="42">
        <v>6</v>
      </c>
      <c r="P45" s="24">
        <v>0.38</v>
      </c>
      <c r="Q45" s="24">
        <f t="shared" si="6"/>
        <v>6.3333333333333339E-2</v>
      </c>
      <c r="R45" s="35">
        <f t="shared" si="7"/>
        <v>30</v>
      </c>
      <c r="S45" s="24" t="str">
        <f t="shared" si="8"/>
        <v>C</v>
      </c>
    </row>
    <row r="46" spans="1:19" s="34" customFormat="1" ht="15.75" customHeight="1" x14ac:dyDescent="0.3">
      <c r="A46" s="24" t="str">
        <f t="shared" si="3"/>
        <v>L005S013</v>
      </c>
      <c r="B46" s="32" t="s">
        <v>51</v>
      </c>
      <c r="C46" s="33" t="s">
        <v>44</v>
      </c>
      <c r="D46" s="33" t="s">
        <v>29</v>
      </c>
      <c r="E46" s="24" t="str">
        <f t="shared" si="10"/>
        <v>Algebra Basics</v>
      </c>
      <c r="F46" s="24" t="str">
        <f t="shared" si="10"/>
        <v>IN_3</v>
      </c>
      <c r="G46" s="24" t="str">
        <f t="shared" si="10"/>
        <v>Workshop</v>
      </c>
      <c r="H46" s="24" t="str">
        <f t="shared" si="1"/>
        <v>Offline</v>
      </c>
      <c r="I46" s="24">
        <v>9</v>
      </c>
      <c r="J46" s="24">
        <f t="shared" si="2"/>
        <v>4</v>
      </c>
      <c r="K46" s="35">
        <f t="shared" si="4"/>
        <v>0.2</v>
      </c>
      <c r="L46" s="24">
        <f t="shared" si="5"/>
        <v>4.0000000000000008E-2</v>
      </c>
      <c r="M46" s="41"/>
      <c r="N46" s="24" t="s">
        <v>90</v>
      </c>
      <c r="O46" s="42">
        <v>7</v>
      </c>
      <c r="P46" s="24">
        <v>0.46000000000000008</v>
      </c>
      <c r="Q46" s="24">
        <f t="shared" si="6"/>
        <v>6.5714285714285725E-2</v>
      </c>
      <c r="R46" s="35">
        <f t="shared" si="7"/>
        <v>29</v>
      </c>
      <c r="S46" s="24" t="str">
        <f t="shared" si="8"/>
        <v>C</v>
      </c>
    </row>
    <row r="47" spans="1:19" s="34" customFormat="1" ht="15.75" customHeight="1" x14ac:dyDescent="0.3">
      <c r="A47" s="24" t="str">
        <f t="shared" si="3"/>
        <v>L005S016</v>
      </c>
      <c r="B47" s="32" t="s">
        <v>51</v>
      </c>
      <c r="C47" s="33" t="s">
        <v>27</v>
      </c>
      <c r="D47" s="33" t="s">
        <v>26</v>
      </c>
      <c r="E47" s="24" t="str">
        <f t="shared" si="10"/>
        <v>Algebra Basics</v>
      </c>
      <c r="F47" s="24" t="str">
        <f t="shared" si="10"/>
        <v>IN_2</v>
      </c>
      <c r="G47" s="24" t="str">
        <f t="shared" si="10"/>
        <v>Workshop</v>
      </c>
      <c r="H47" s="24" t="str">
        <f t="shared" si="1"/>
        <v>Offline</v>
      </c>
      <c r="I47" s="24">
        <v>0</v>
      </c>
      <c r="J47" s="24">
        <f t="shared" si="2"/>
        <v>0</v>
      </c>
      <c r="K47" s="35">
        <f t="shared" si="4"/>
        <v>0</v>
      </c>
      <c r="L47" s="24">
        <f t="shared" si="5"/>
        <v>0</v>
      </c>
      <c r="M47" s="41"/>
      <c r="N47" s="24" t="s">
        <v>91</v>
      </c>
      <c r="O47" s="42">
        <v>5</v>
      </c>
      <c r="P47" s="24">
        <v>0</v>
      </c>
      <c r="Q47" s="24">
        <f t="shared" si="6"/>
        <v>0</v>
      </c>
      <c r="R47" s="35">
        <f t="shared" si="7"/>
        <v>49</v>
      </c>
      <c r="S47" s="24" t="str">
        <f t="shared" si="8"/>
        <v>D</v>
      </c>
    </row>
    <row r="48" spans="1:19" s="34" customFormat="1" ht="15.75" customHeight="1" x14ac:dyDescent="0.3">
      <c r="A48" s="24" t="str">
        <f t="shared" si="3"/>
        <v>L005S019</v>
      </c>
      <c r="B48" s="32" t="s">
        <v>51</v>
      </c>
      <c r="C48" s="33" t="s">
        <v>38</v>
      </c>
      <c r="D48" s="33" t="s">
        <v>26</v>
      </c>
      <c r="E48" s="24" t="str">
        <f t="shared" si="10"/>
        <v>CS Fundamentals</v>
      </c>
      <c r="F48" s="24" t="str">
        <f t="shared" si="10"/>
        <v>IN_6</v>
      </c>
      <c r="G48" s="24" t="str">
        <f t="shared" si="10"/>
        <v>Workshop</v>
      </c>
      <c r="H48" s="24" t="str">
        <f t="shared" si="1"/>
        <v>Offline</v>
      </c>
      <c r="I48" s="24">
        <v>16</v>
      </c>
      <c r="J48" s="24">
        <f t="shared" si="2"/>
        <v>16</v>
      </c>
      <c r="K48" s="35">
        <f t="shared" si="4"/>
        <v>0.8</v>
      </c>
      <c r="L48" s="24">
        <f t="shared" si="5"/>
        <v>0.16000000000000003</v>
      </c>
      <c r="M48" s="41"/>
      <c r="N48" s="24" t="s">
        <v>92</v>
      </c>
      <c r="O48" s="42">
        <v>7</v>
      </c>
      <c r="P48" s="24">
        <v>0.33999999999999997</v>
      </c>
      <c r="Q48" s="24">
        <f t="shared" si="6"/>
        <v>4.8571428571428564E-2</v>
      </c>
      <c r="R48" s="35">
        <f t="shared" si="7"/>
        <v>37</v>
      </c>
      <c r="S48" s="24" t="str">
        <f t="shared" si="8"/>
        <v>D</v>
      </c>
    </row>
    <row r="49" spans="1:19" s="34" customFormat="1" ht="15.75" customHeight="1" x14ac:dyDescent="0.3">
      <c r="A49" s="24" t="str">
        <f t="shared" si="3"/>
        <v>L005S020</v>
      </c>
      <c r="B49" s="32" t="s">
        <v>51</v>
      </c>
      <c r="C49" s="33" t="s">
        <v>30</v>
      </c>
      <c r="D49" s="33" t="s">
        <v>26</v>
      </c>
      <c r="E49" s="24" t="str">
        <f t="shared" si="10"/>
        <v>Foundations of ML</v>
      </c>
      <c r="F49" s="24" t="str">
        <f t="shared" si="10"/>
        <v>IN_4</v>
      </c>
      <c r="G49" s="24" t="str">
        <f t="shared" si="10"/>
        <v>Workshop</v>
      </c>
      <c r="H49" s="24" t="str">
        <f t="shared" si="1"/>
        <v>Online</v>
      </c>
      <c r="I49" s="24">
        <v>0</v>
      </c>
      <c r="J49" s="24">
        <f t="shared" si="2"/>
        <v>0</v>
      </c>
      <c r="K49" s="35">
        <f t="shared" si="4"/>
        <v>0</v>
      </c>
      <c r="L49" s="24">
        <f t="shared" si="5"/>
        <v>0</v>
      </c>
      <c r="M49" s="41"/>
      <c r="N49" s="24" t="s">
        <v>93</v>
      </c>
      <c r="O49" s="42">
        <v>14</v>
      </c>
      <c r="P49" s="24">
        <v>1.07</v>
      </c>
      <c r="Q49" s="24">
        <f t="shared" si="6"/>
        <v>7.6428571428571429E-2</v>
      </c>
      <c r="R49" s="35">
        <f t="shared" si="7"/>
        <v>25</v>
      </c>
      <c r="S49" s="24" t="str">
        <f t="shared" si="8"/>
        <v>C</v>
      </c>
    </row>
    <row r="50" spans="1:19" s="34" customFormat="1" ht="15.75" customHeight="1" x14ac:dyDescent="0.3">
      <c r="A50" s="24" t="str">
        <f t="shared" si="3"/>
        <v>L005S003</v>
      </c>
      <c r="B50" s="32" t="s">
        <v>51</v>
      </c>
      <c r="C50" s="33" t="s">
        <v>50</v>
      </c>
      <c r="D50" s="33" t="s">
        <v>26</v>
      </c>
      <c r="E50" s="24" t="str">
        <f t="shared" si="10"/>
        <v>Algebra Basics</v>
      </c>
      <c r="F50" s="24" t="str">
        <f t="shared" si="10"/>
        <v>IN_7</v>
      </c>
      <c r="G50" s="24" t="str">
        <f t="shared" si="10"/>
        <v>Workshop</v>
      </c>
      <c r="H50" s="24" t="str">
        <f t="shared" si="1"/>
        <v>Offline</v>
      </c>
      <c r="I50" s="24">
        <v>10</v>
      </c>
      <c r="J50" s="24">
        <f t="shared" si="2"/>
        <v>10</v>
      </c>
      <c r="K50" s="35">
        <f t="shared" si="4"/>
        <v>0.5</v>
      </c>
      <c r="L50" s="24">
        <f t="shared" si="5"/>
        <v>0.1</v>
      </c>
      <c r="M50" s="41"/>
      <c r="N50" s="24" t="s">
        <v>94</v>
      </c>
      <c r="O50" s="42">
        <v>13</v>
      </c>
      <c r="P50" s="24">
        <v>0.49000000000000005</v>
      </c>
      <c r="Q50" s="24">
        <f t="shared" si="6"/>
        <v>3.7692307692307699E-2</v>
      </c>
      <c r="R50" s="35">
        <f t="shared" si="7"/>
        <v>43</v>
      </c>
      <c r="S50" s="24" t="str">
        <f t="shared" si="8"/>
        <v>D</v>
      </c>
    </row>
    <row r="51" spans="1:19" s="34" customFormat="1" ht="15.75" customHeight="1" x14ac:dyDescent="0.3">
      <c r="A51" s="24" t="str">
        <f t="shared" si="3"/>
        <v>L005S015</v>
      </c>
      <c r="B51" s="32" t="s">
        <v>51</v>
      </c>
      <c r="C51" s="33" t="s">
        <v>41</v>
      </c>
      <c r="D51" s="33" t="s">
        <v>26</v>
      </c>
      <c r="E51" s="24" t="str">
        <f t="shared" si="10"/>
        <v>Foundations of ML</v>
      </c>
      <c r="F51" s="24" t="str">
        <f t="shared" si="10"/>
        <v>IN_4</v>
      </c>
      <c r="G51" s="24" t="str">
        <f t="shared" si="10"/>
        <v>Practical</v>
      </c>
      <c r="H51" s="24" t="str">
        <f t="shared" si="1"/>
        <v>Offline</v>
      </c>
      <c r="I51" s="24">
        <v>0</v>
      </c>
      <c r="J51" s="24">
        <f t="shared" si="2"/>
        <v>0</v>
      </c>
      <c r="K51" s="35">
        <f t="shared" si="4"/>
        <v>0</v>
      </c>
      <c r="L51" s="24">
        <f t="shared" si="5"/>
        <v>0</v>
      </c>
      <c r="M51" s="41"/>
      <c r="N51" s="24" t="s">
        <v>95</v>
      </c>
      <c r="O51" s="42">
        <v>14</v>
      </c>
      <c r="P51" s="24">
        <v>1.1299999999999999</v>
      </c>
      <c r="Q51" s="24">
        <f t="shared" si="6"/>
        <v>8.0714285714285711E-2</v>
      </c>
      <c r="R51" s="35">
        <f t="shared" si="7"/>
        <v>24</v>
      </c>
      <c r="S51" s="24" t="str">
        <f t="shared" si="8"/>
        <v>C</v>
      </c>
    </row>
    <row r="52" spans="1:19" s="34" customFormat="1" ht="15.75" customHeight="1" x14ac:dyDescent="0.3">
      <c r="A52" s="24" t="str">
        <f t="shared" si="3"/>
        <v>L005S008</v>
      </c>
      <c r="B52" s="32" t="s">
        <v>51</v>
      </c>
      <c r="C52" s="33" t="s">
        <v>32</v>
      </c>
      <c r="D52" s="33" t="s">
        <v>26</v>
      </c>
      <c r="E52" s="24" t="str">
        <f t="shared" si="10"/>
        <v>CS Fundamentals</v>
      </c>
      <c r="F52" s="24" t="str">
        <f t="shared" si="10"/>
        <v>IN_2</v>
      </c>
      <c r="G52" s="24" t="str">
        <f t="shared" si="10"/>
        <v>Practical</v>
      </c>
      <c r="H52" s="24" t="str">
        <f t="shared" si="1"/>
        <v>Online</v>
      </c>
      <c r="I52" s="24">
        <v>10</v>
      </c>
      <c r="J52" s="24">
        <f t="shared" si="2"/>
        <v>10</v>
      </c>
      <c r="K52" s="35">
        <f t="shared" si="4"/>
        <v>0.5</v>
      </c>
      <c r="L52" s="24">
        <f t="shared" si="5"/>
        <v>0.2</v>
      </c>
      <c r="M52" s="41"/>
      <c r="N52" s="24" t="s">
        <v>96</v>
      </c>
      <c r="O52" s="42">
        <v>8</v>
      </c>
      <c r="P52" s="24">
        <v>1.06</v>
      </c>
      <c r="Q52" s="24">
        <f t="shared" si="6"/>
        <v>0.13250000000000001</v>
      </c>
      <c r="R52" s="35">
        <f t="shared" si="7"/>
        <v>4</v>
      </c>
      <c r="S52" s="24" t="str">
        <f t="shared" si="8"/>
        <v>AA</v>
      </c>
    </row>
    <row r="53" spans="1:19" s="34" customFormat="1" ht="15.75" customHeight="1" x14ac:dyDescent="0.3">
      <c r="A53" s="24" t="str">
        <f t="shared" si="3"/>
        <v>L005S007</v>
      </c>
      <c r="B53" s="32" t="s">
        <v>51</v>
      </c>
      <c r="C53" s="33" t="s">
        <v>35</v>
      </c>
      <c r="D53" s="33" t="s">
        <v>26</v>
      </c>
      <c r="E53" s="24" t="str">
        <f t="shared" si="10"/>
        <v>Communication</v>
      </c>
      <c r="F53" s="24" t="str">
        <f t="shared" si="10"/>
        <v>IN_1</v>
      </c>
      <c r="G53" s="24" t="str">
        <f t="shared" si="10"/>
        <v>Practical</v>
      </c>
      <c r="H53" s="24" t="str">
        <f t="shared" si="1"/>
        <v>Offline</v>
      </c>
      <c r="I53" s="24">
        <v>17</v>
      </c>
      <c r="J53" s="24">
        <f t="shared" si="2"/>
        <v>17</v>
      </c>
      <c r="K53" s="35">
        <f t="shared" si="4"/>
        <v>0.85</v>
      </c>
      <c r="L53" s="24">
        <f t="shared" si="5"/>
        <v>0.34</v>
      </c>
      <c r="M53" s="41"/>
    </row>
    <row r="54" spans="1:19" s="34" customFormat="1" ht="15.75" customHeight="1" x14ac:dyDescent="0.3">
      <c r="A54" s="24" t="str">
        <f t="shared" si="3"/>
        <v>L005S011</v>
      </c>
      <c r="B54" s="32" t="s">
        <v>51</v>
      </c>
      <c r="C54" s="33" t="s">
        <v>39</v>
      </c>
      <c r="D54" s="33" t="s">
        <v>26</v>
      </c>
      <c r="E54" s="24" t="str">
        <f t="shared" si="10"/>
        <v>Algebra Basics</v>
      </c>
      <c r="F54" s="24" t="str">
        <f t="shared" si="10"/>
        <v>IN_4</v>
      </c>
      <c r="G54" s="24" t="str">
        <f t="shared" si="10"/>
        <v>Theory Session</v>
      </c>
      <c r="H54" s="24" t="str">
        <f t="shared" si="1"/>
        <v>Online</v>
      </c>
      <c r="I54" s="24">
        <v>4</v>
      </c>
      <c r="J54" s="24">
        <f t="shared" si="2"/>
        <v>4</v>
      </c>
      <c r="K54" s="35">
        <f t="shared" si="4"/>
        <v>0.2</v>
      </c>
      <c r="L54" s="24">
        <f t="shared" si="5"/>
        <v>8.0000000000000016E-2</v>
      </c>
      <c r="M54" s="41"/>
    </row>
    <row r="55" spans="1:19" s="34" customFormat="1" ht="15.75" customHeight="1" x14ac:dyDescent="0.3">
      <c r="A55" s="24" t="str">
        <f t="shared" si="3"/>
        <v>L006S004</v>
      </c>
      <c r="B55" s="32" t="s">
        <v>52</v>
      </c>
      <c r="C55" s="33" t="s">
        <v>47</v>
      </c>
      <c r="D55" s="33" t="s">
        <v>29</v>
      </c>
      <c r="E55" s="24" t="str">
        <f t="shared" si="10"/>
        <v>Foundations of ML</v>
      </c>
      <c r="F55" s="24" t="str">
        <f t="shared" si="10"/>
        <v>IN_4</v>
      </c>
      <c r="G55" s="24" t="str">
        <f t="shared" si="10"/>
        <v>Workshop</v>
      </c>
      <c r="H55" s="24" t="str">
        <f t="shared" si="1"/>
        <v>Online</v>
      </c>
      <c r="I55" s="24">
        <v>11</v>
      </c>
      <c r="J55" s="24">
        <f t="shared" si="2"/>
        <v>6</v>
      </c>
      <c r="K55" s="35">
        <f t="shared" si="4"/>
        <v>0.3</v>
      </c>
      <c r="L55" s="24">
        <f t="shared" si="5"/>
        <v>0.06</v>
      </c>
      <c r="M55" s="41"/>
    </row>
    <row r="56" spans="1:19" s="34" customFormat="1" ht="15.75" customHeight="1" x14ac:dyDescent="0.3">
      <c r="A56" s="24" t="str">
        <f t="shared" si="3"/>
        <v>L006S003</v>
      </c>
      <c r="B56" s="32" t="s">
        <v>52</v>
      </c>
      <c r="C56" s="33" t="s">
        <v>50</v>
      </c>
      <c r="D56" s="33" t="s">
        <v>26</v>
      </c>
      <c r="E56" s="24" t="str">
        <f t="shared" si="10"/>
        <v>Algebra Basics</v>
      </c>
      <c r="F56" s="24" t="str">
        <f t="shared" si="10"/>
        <v>IN_7</v>
      </c>
      <c r="G56" s="24" t="str">
        <f t="shared" si="10"/>
        <v>Workshop</v>
      </c>
      <c r="H56" s="24" t="str">
        <f t="shared" si="1"/>
        <v>Offline</v>
      </c>
      <c r="I56" s="24">
        <v>11</v>
      </c>
      <c r="J56" s="24">
        <f t="shared" si="2"/>
        <v>11</v>
      </c>
      <c r="K56" s="35">
        <f t="shared" si="4"/>
        <v>0.55000000000000004</v>
      </c>
      <c r="L56" s="24">
        <f t="shared" si="5"/>
        <v>0.11000000000000001</v>
      </c>
      <c r="M56" s="41"/>
    </row>
    <row r="57" spans="1:19" s="34" customFormat="1" ht="15.75" customHeight="1" x14ac:dyDescent="0.3">
      <c r="A57" s="24" t="str">
        <f t="shared" si="3"/>
        <v>L006S017</v>
      </c>
      <c r="B57" s="32" t="s">
        <v>52</v>
      </c>
      <c r="C57" s="33" t="s">
        <v>28</v>
      </c>
      <c r="D57" s="33" t="s">
        <v>26</v>
      </c>
      <c r="E57" s="24" t="str">
        <f t="shared" si="10"/>
        <v>Communication</v>
      </c>
      <c r="F57" s="24" t="str">
        <f t="shared" si="10"/>
        <v>IN_7</v>
      </c>
      <c r="G57" s="24" t="str">
        <f t="shared" si="10"/>
        <v>Practical</v>
      </c>
      <c r="H57" s="24" t="str">
        <f t="shared" si="1"/>
        <v>Offline</v>
      </c>
      <c r="I57" s="24">
        <v>14</v>
      </c>
      <c r="J57" s="24">
        <f t="shared" si="2"/>
        <v>14</v>
      </c>
      <c r="K57" s="35">
        <f t="shared" si="4"/>
        <v>0.7</v>
      </c>
      <c r="L57" s="24">
        <f t="shared" si="5"/>
        <v>0.27999999999999997</v>
      </c>
      <c r="M57" s="41"/>
    </row>
    <row r="58" spans="1:19" s="34" customFormat="1" ht="15.75" customHeight="1" x14ac:dyDescent="0.3">
      <c r="A58" s="24" t="str">
        <f t="shared" si="3"/>
        <v>L006S010</v>
      </c>
      <c r="B58" s="32" t="s">
        <v>52</v>
      </c>
      <c r="C58" s="33" t="s">
        <v>34</v>
      </c>
      <c r="D58" s="33" t="s">
        <v>29</v>
      </c>
      <c r="E58" s="24" t="str">
        <f t="shared" si="10"/>
        <v>Foundations of ML</v>
      </c>
      <c r="F58" s="24" t="str">
        <f t="shared" si="10"/>
        <v>IN_6</v>
      </c>
      <c r="G58" s="24" t="str">
        <f t="shared" si="10"/>
        <v>Theory Session</v>
      </c>
      <c r="H58" s="24" t="str">
        <f t="shared" si="1"/>
        <v>Offline</v>
      </c>
      <c r="I58" s="24">
        <v>16</v>
      </c>
      <c r="J58" s="24">
        <f t="shared" si="2"/>
        <v>11</v>
      </c>
      <c r="K58" s="35">
        <f t="shared" si="4"/>
        <v>0.55000000000000004</v>
      </c>
      <c r="L58" s="24">
        <f t="shared" si="5"/>
        <v>0.22000000000000003</v>
      </c>
      <c r="M58" s="41"/>
    </row>
    <row r="59" spans="1:19" s="34" customFormat="1" ht="15.75" customHeight="1" x14ac:dyDescent="0.3">
      <c r="A59" s="24" t="str">
        <f t="shared" si="3"/>
        <v>L006S018</v>
      </c>
      <c r="B59" s="32" t="s">
        <v>52</v>
      </c>
      <c r="C59" s="33" t="s">
        <v>25</v>
      </c>
      <c r="D59" s="33" t="s">
        <v>26</v>
      </c>
      <c r="E59" s="24" t="str">
        <f t="shared" si="10"/>
        <v>CS Fundamentals</v>
      </c>
      <c r="F59" s="24" t="str">
        <f t="shared" si="10"/>
        <v>IN_5</v>
      </c>
      <c r="G59" s="24" t="str">
        <f t="shared" si="10"/>
        <v>Practical</v>
      </c>
      <c r="H59" s="24" t="str">
        <f t="shared" si="1"/>
        <v>Online</v>
      </c>
      <c r="I59" s="24">
        <v>0</v>
      </c>
      <c r="J59" s="24">
        <f t="shared" si="2"/>
        <v>0</v>
      </c>
      <c r="K59" s="35">
        <f t="shared" si="4"/>
        <v>0</v>
      </c>
      <c r="L59" s="24">
        <f t="shared" si="5"/>
        <v>0</v>
      </c>
      <c r="M59" s="41"/>
    </row>
    <row r="60" spans="1:19" s="34" customFormat="1" ht="15.75" customHeight="1" x14ac:dyDescent="0.3">
      <c r="A60" s="24" t="str">
        <f t="shared" si="3"/>
        <v>L006S001</v>
      </c>
      <c r="B60" s="32" t="s">
        <v>52</v>
      </c>
      <c r="C60" s="33" t="s">
        <v>43</v>
      </c>
      <c r="D60" s="33" t="s">
        <v>26</v>
      </c>
      <c r="E60" s="24" t="str">
        <f t="shared" si="10"/>
        <v>CS Fundamentals</v>
      </c>
      <c r="F60" s="24" t="str">
        <f t="shared" si="10"/>
        <v>IN_2</v>
      </c>
      <c r="G60" s="24" t="str">
        <f t="shared" si="10"/>
        <v>Theory Session</v>
      </c>
      <c r="H60" s="24" t="str">
        <f t="shared" si="1"/>
        <v>Online</v>
      </c>
      <c r="I60" s="24">
        <v>8</v>
      </c>
      <c r="J60" s="24">
        <f t="shared" si="2"/>
        <v>8</v>
      </c>
      <c r="K60" s="35">
        <f t="shared" si="4"/>
        <v>0.4</v>
      </c>
      <c r="L60" s="24">
        <f t="shared" si="5"/>
        <v>0.16000000000000003</v>
      </c>
      <c r="M60" s="41"/>
    </row>
    <row r="61" spans="1:19" s="34" customFormat="1" ht="15.75" customHeight="1" x14ac:dyDescent="0.3">
      <c r="A61" s="24" t="str">
        <f t="shared" si="3"/>
        <v>L007S005</v>
      </c>
      <c r="B61" s="32" t="s">
        <v>53</v>
      </c>
      <c r="C61" s="33" t="s">
        <v>36</v>
      </c>
      <c r="D61" s="33" t="s">
        <v>29</v>
      </c>
      <c r="E61" s="24" t="str">
        <f t="shared" si="10"/>
        <v>Algebra Basics</v>
      </c>
      <c r="F61" s="24" t="str">
        <f t="shared" si="10"/>
        <v>IN_4</v>
      </c>
      <c r="G61" s="24" t="str">
        <f t="shared" si="10"/>
        <v>Workshop</v>
      </c>
      <c r="H61" s="24" t="str">
        <f t="shared" si="1"/>
        <v>Online</v>
      </c>
      <c r="I61" s="24">
        <v>17</v>
      </c>
      <c r="J61" s="24">
        <f t="shared" si="2"/>
        <v>12</v>
      </c>
      <c r="K61" s="35">
        <f t="shared" si="4"/>
        <v>0.6</v>
      </c>
      <c r="L61" s="24">
        <f t="shared" si="5"/>
        <v>0.12</v>
      </c>
      <c r="M61" s="41"/>
    </row>
    <row r="62" spans="1:19" s="34" customFormat="1" ht="15.75" customHeight="1" x14ac:dyDescent="0.3">
      <c r="A62" s="24" t="str">
        <f t="shared" si="3"/>
        <v>L007S014</v>
      </c>
      <c r="B62" s="32" t="s">
        <v>53</v>
      </c>
      <c r="C62" s="33" t="s">
        <v>46</v>
      </c>
      <c r="D62" s="33" t="s">
        <v>26</v>
      </c>
      <c r="E62" s="24" t="str">
        <f t="shared" si="10"/>
        <v>Foundations of ML</v>
      </c>
      <c r="F62" s="24" t="str">
        <f t="shared" si="10"/>
        <v>IN_2</v>
      </c>
      <c r="G62" s="24" t="str">
        <f t="shared" si="10"/>
        <v>Theory Session</v>
      </c>
      <c r="H62" s="24" t="str">
        <f t="shared" si="1"/>
        <v>Online</v>
      </c>
      <c r="I62" s="24">
        <v>4</v>
      </c>
      <c r="J62" s="24">
        <f t="shared" si="2"/>
        <v>4</v>
      </c>
      <c r="K62" s="35">
        <f t="shared" si="4"/>
        <v>0.2</v>
      </c>
      <c r="L62" s="24">
        <f t="shared" si="5"/>
        <v>8.0000000000000016E-2</v>
      </c>
      <c r="M62" s="41"/>
    </row>
    <row r="63" spans="1:19" s="34" customFormat="1" ht="15.75" customHeight="1" x14ac:dyDescent="0.3">
      <c r="A63" s="24" t="str">
        <f t="shared" si="3"/>
        <v>L007S016</v>
      </c>
      <c r="B63" s="32" t="s">
        <v>53</v>
      </c>
      <c r="C63" s="33" t="s">
        <v>27</v>
      </c>
      <c r="D63" s="33" t="s">
        <v>26</v>
      </c>
      <c r="E63" s="24" t="str">
        <f t="shared" ref="E63:G82" si="11">VLOOKUP($C63,session_details,E$1,FALSE)</f>
        <v>Algebra Basics</v>
      </c>
      <c r="F63" s="24" t="str">
        <f t="shared" si="11"/>
        <v>IN_2</v>
      </c>
      <c r="G63" s="24" t="str">
        <f t="shared" si="11"/>
        <v>Workshop</v>
      </c>
      <c r="H63" s="24" t="str">
        <f t="shared" si="1"/>
        <v>Offline</v>
      </c>
      <c r="I63" s="24">
        <v>0</v>
      </c>
      <c r="J63" s="24">
        <f t="shared" si="2"/>
        <v>0</v>
      </c>
      <c r="K63" s="35">
        <f t="shared" si="4"/>
        <v>0</v>
      </c>
      <c r="L63" s="24">
        <f t="shared" si="5"/>
        <v>0</v>
      </c>
      <c r="M63" s="41"/>
    </row>
    <row r="64" spans="1:19" s="34" customFormat="1" ht="15.75" customHeight="1" x14ac:dyDescent="0.3">
      <c r="A64" s="24" t="str">
        <f t="shared" si="3"/>
        <v>L007S017</v>
      </c>
      <c r="B64" s="32" t="s">
        <v>53</v>
      </c>
      <c r="C64" s="33" t="s">
        <v>28</v>
      </c>
      <c r="D64" s="33" t="s">
        <v>26</v>
      </c>
      <c r="E64" s="24" t="str">
        <f t="shared" si="11"/>
        <v>Communication</v>
      </c>
      <c r="F64" s="24" t="str">
        <f t="shared" si="11"/>
        <v>IN_7</v>
      </c>
      <c r="G64" s="24" t="str">
        <f t="shared" si="11"/>
        <v>Practical</v>
      </c>
      <c r="H64" s="24" t="str">
        <f t="shared" si="1"/>
        <v>Offline</v>
      </c>
      <c r="I64" s="24">
        <v>0</v>
      </c>
      <c r="J64" s="24">
        <f t="shared" si="2"/>
        <v>0</v>
      </c>
      <c r="K64" s="35">
        <f t="shared" si="4"/>
        <v>0</v>
      </c>
      <c r="L64" s="24">
        <f t="shared" si="5"/>
        <v>0</v>
      </c>
      <c r="M64" s="41"/>
    </row>
    <row r="65" spans="1:13" s="34" customFormat="1" ht="15.75" customHeight="1" x14ac:dyDescent="0.3">
      <c r="A65" s="24" t="str">
        <f t="shared" si="3"/>
        <v>L007S015</v>
      </c>
      <c r="B65" s="32" t="s">
        <v>53</v>
      </c>
      <c r="C65" s="33" t="s">
        <v>41</v>
      </c>
      <c r="D65" s="33" t="s">
        <v>26</v>
      </c>
      <c r="E65" s="24" t="str">
        <f t="shared" si="11"/>
        <v>Foundations of ML</v>
      </c>
      <c r="F65" s="24" t="str">
        <f t="shared" si="11"/>
        <v>IN_4</v>
      </c>
      <c r="G65" s="24" t="str">
        <f t="shared" si="11"/>
        <v>Practical</v>
      </c>
      <c r="H65" s="24" t="str">
        <f t="shared" si="1"/>
        <v>Offline</v>
      </c>
      <c r="I65" s="24">
        <v>0</v>
      </c>
      <c r="J65" s="24">
        <f t="shared" si="2"/>
        <v>0</v>
      </c>
      <c r="K65" s="35">
        <f t="shared" si="4"/>
        <v>0</v>
      </c>
      <c r="L65" s="24">
        <f t="shared" si="5"/>
        <v>0</v>
      </c>
      <c r="M65" s="41"/>
    </row>
    <row r="66" spans="1:13" s="34" customFormat="1" ht="15.75" customHeight="1" x14ac:dyDescent="0.3">
      <c r="A66" s="24" t="str">
        <f t="shared" si="3"/>
        <v>L007S001</v>
      </c>
      <c r="B66" s="32" t="s">
        <v>53</v>
      </c>
      <c r="C66" s="33" t="s">
        <v>43</v>
      </c>
      <c r="D66" s="33" t="s">
        <v>37</v>
      </c>
      <c r="E66" s="24" t="str">
        <f t="shared" si="11"/>
        <v>CS Fundamentals</v>
      </c>
      <c r="F66" s="24" t="str">
        <f t="shared" si="11"/>
        <v>IN_2</v>
      </c>
      <c r="G66" s="24" t="str">
        <f t="shared" si="11"/>
        <v>Theory Session</v>
      </c>
      <c r="H66" s="24" t="str">
        <f t="shared" si="1"/>
        <v>Online</v>
      </c>
      <c r="I66" s="24">
        <v>0</v>
      </c>
      <c r="J66" s="24">
        <f t="shared" si="2"/>
        <v>0</v>
      </c>
      <c r="K66" s="35">
        <f t="shared" si="4"/>
        <v>0</v>
      </c>
      <c r="L66" s="24">
        <f t="shared" si="5"/>
        <v>0</v>
      </c>
      <c r="M66" s="41"/>
    </row>
    <row r="67" spans="1:13" s="34" customFormat="1" ht="15.75" customHeight="1" x14ac:dyDescent="0.3">
      <c r="A67" s="24" t="str">
        <f t="shared" si="3"/>
        <v>L007S006</v>
      </c>
      <c r="B67" s="32" t="s">
        <v>53</v>
      </c>
      <c r="C67" s="33" t="s">
        <v>40</v>
      </c>
      <c r="D67" s="33" t="s">
        <v>29</v>
      </c>
      <c r="E67" s="24" t="str">
        <f t="shared" si="11"/>
        <v>Communication</v>
      </c>
      <c r="F67" s="24" t="str">
        <f t="shared" si="11"/>
        <v>IN_6</v>
      </c>
      <c r="G67" s="24" t="str">
        <f t="shared" si="11"/>
        <v>Theory Session</v>
      </c>
      <c r="H67" s="24" t="str">
        <f t="shared" ref="H67:H130" si="12">VLOOKUP($C67,Session_mode,H$1,FALSE)</f>
        <v>Online</v>
      </c>
      <c r="I67" s="24">
        <v>0</v>
      </c>
      <c r="J67" s="24">
        <f t="shared" ref="J67:J130" si="13">IF(D67="Present", I67, IF(AND(D67="Absent", I67&lt;&gt;0), I67-5, I67))</f>
        <v>0</v>
      </c>
      <c r="K67" s="35">
        <f t="shared" si="4"/>
        <v>0</v>
      </c>
      <c r="L67" s="24">
        <f t="shared" si="5"/>
        <v>0</v>
      </c>
      <c r="M67" s="41"/>
    </row>
    <row r="68" spans="1:13" s="34" customFormat="1" ht="15.75" customHeight="1" x14ac:dyDescent="0.3">
      <c r="A68" s="24" t="str">
        <f t="shared" ref="A68:A131" si="14">B68&amp;C68</f>
        <v>L007S012</v>
      </c>
      <c r="B68" s="32" t="s">
        <v>53</v>
      </c>
      <c r="C68" s="33" t="s">
        <v>33</v>
      </c>
      <c r="D68" s="33" t="s">
        <v>26</v>
      </c>
      <c r="E68" s="24" t="str">
        <f t="shared" si="11"/>
        <v>Foundations of ML</v>
      </c>
      <c r="F68" s="24" t="str">
        <f t="shared" si="11"/>
        <v>IN_1</v>
      </c>
      <c r="G68" s="24" t="str">
        <f t="shared" si="11"/>
        <v>Workshop</v>
      </c>
      <c r="H68" s="24" t="str">
        <f t="shared" si="12"/>
        <v>Offline</v>
      </c>
      <c r="I68" s="24">
        <v>0</v>
      </c>
      <c r="J68" s="24">
        <f t="shared" si="13"/>
        <v>0</v>
      </c>
      <c r="K68" s="35">
        <f t="shared" ref="K68:K131" si="15">J68/20</f>
        <v>0</v>
      </c>
      <c r="L68" s="24">
        <f t="shared" ref="L68:L131" si="16">IF(G68="Theory Session", K68*0.4,
 IF(G68="Practical",       K68*0.4,
 IF(G68="Workshop",        K68*0.2,
 0)))</f>
        <v>0</v>
      </c>
      <c r="M68" s="41"/>
    </row>
    <row r="69" spans="1:13" s="34" customFormat="1" ht="15.75" customHeight="1" x14ac:dyDescent="0.3">
      <c r="A69" s="24" t="str">
        <f t="shared" si="14"/>
        <v>L007S002</v>
      </c>
      <c r="B69" s="32" t="s">
        <v>53</v>
      </c>
      <c r="C69" s="33" t="s">
        <v>31</v>
      </c>
      <c r="D69" s="33" t="s">
        <v>26</v>
      </c>
      <c r="E69" s="24" t="str">
        <f t="shared" si="11"/>
        <v>CS Fundamentals</v>
      </c>
      <c r="F69" s="24" t="str">
        <f t="shared" si="11"/>
        <v>IN_3</v>
      </c>
      <c r="G69" s="24" t="str">
        <f t="shared" si="11"/>
        <v>Practical</v>
      </c>
      <c r="H69" s="24" t="str">
        <f t="shared" si="12"/>
        <v>Offline</v>
      </c>
      <c r="I69" s="24">
        <v>0</v>
      </c>
      <c r="J69" s="24">
        <f t="shared" si="13"/>
        <v>0</v>
      </c>
      <c r="K69" s="35">
        <f t="shared" si="15"/>
        <v>0</v>
      </c>
      <c r="L69" s="24">
        <f t="shared" si="16"/>
        <v>0</v>
      </c>
      <c r="M69" s="41"/>
    </row>
    <row r="70" spans="1:13" s="34" customFormat="1" ht="15.75" customHeight="1" x14ac:dyDescent="0.3">
      <c r="A70" s="24" t="str">
        <f t="shared" si="14"/>
        <v>L007S011</v>
      </c>
      <c r="B70" s="32" t="s">
        <v>53</v>
      </c>
      <c r="C70" s="33" t="s">
        <v>39</v>
      </c>
      <c r="D70" s="33" t="s">
        <v>37</v>
      </c>
      <c r="E70" s="24" t="str">
        <f t="shared" si="11"/>
        <v>Algebra Basics</v>
      </c>
      <c r="F70" s="24" t="str">
        <f t="shared" si="11"/>
        <v>IN_4</v>
      </c>
      <c r="G70" s="24" t="str">
        <f t="shared" si="11"/>
        <v>Theory Session</v>
      </c>
      <c r="H70" s="24" t="str">
        <f t="shared" si="12"/>
        <v>Online</v>
      </c>
      <c r="I70" s="24">
        <v>12</v>
      </c>
      <c r="J70" s="24">
        <f t="shared" si="13"/>
        <v>12</v>
      </c>
      <c r="K70" s="35">
        <f t="shared" si="15"/>
        <v>0.6</v>
      </c>
      <c r="L70" s="24">
        <f t="shared" si="16"/>
        <v>0.24</v>
      </c>
      <c r="M70" s="41"/>
    </row>
    <row r="71" spans="1:13" s="34" customFormat="1" ht="15.75" customHeight="1" x14ac:dyDescent="0.3">
      <c r="A71" s="24" t="str">
        <f t="shared" si="14"/>
        <v>L007S019</v>
      </c>
      <c r="B71" s="32" t="s">
        <v>53</v>
      </c>
      <c r="C71" s="33" t="s">
        <v>38</v>
      </c>
      <c r="D71" s="33" t="s">
        <v>26</v>
      </c>
      <c r="E71" s="24" t="str">
        <f t="shared" si="11"/>
        <v>CS Fundamentals</v>
      </c>
      <c r="F71" s="24" t="str">
        <f t="shared" si="11"/>
        <v>IN_6</v>
      </c>
      <c r="G71" s="24" t="str">
        <f t="shared" si="11"/>
        <v>Workshop</v>
      </c>
      <c r="H71" s="24" t="str">
        <f t="shared" si="12"/>
        <v>Offline</v>
      </c>
      <c r="I71" s="24">
        <v>6</v>
      </c>
      <c r="J71" s="24">
        <f t="shared" si="13"/>
        <v>6</v>
      </c>
      <c r="K71" s="35">
        <f t="shared" si="15"/>
        <v>0.3</v>
      </c>
      <c r="L71" s="24">
        <f t="shared" si="16"/>
        <v>0.06</v>
      </c>
      <c r="M71" s="41"/>
    </row>
    <row r="72" spans="1:13" s="34" customFormat="1" ht="15.75" customHeight="1" x14ac:dyDescent="0.3">
      <c r="A72" s="24" t="str">
        <f t="shared" si="14"/>
        <v>L007S003</v>
      </c>
      <c r="B72" s="32" t="s">
        <v>53</v>
      </c>
      <c r="C72" s="33" t="s">
        <v>50</v>
      </c>
      <c r="D72" s="33" t="s">
        <v>37</v>
      </c>
      <c r="E72" s="24" t="str">
        <f t="shared" si="11"/>
        <v>Algebra Basics</v>
      </c>
      <c r="F72" s="24" t="str">
        <f t="shared" si="11"/>
        <v>IN_7</v>
      </c>
      <c r="G72" s="24" t="str">
        <f t="shared" si="11"/>
        <v>Workshop</v>
      </c>
      <c r="H72" s="24" t="str">
        <f t="shared" si="12"/>
        <v>Offline</v>
      </c>
      <c r="I72" s="24">
        <v>14</v>
      </c>
      <c r="J72" s="24">
        <f t="shared" si="13"/>
        <v>14</v>
      </c>
      <c r="K72" s="35">
        <f t="shared" si="15"/>
        <v>0.7</v>
      </c>
      <c r="L72" s="24">
        <f t="shared" si="16"/>
        <v>0.13999999999999999</v>
      </c>
      <c r="M72" s="41"/>
    </row>
    <row r="73" spans="1:13" s="34" customFormat="1" ht="15.75" customHeight="1" x14ac:dyDescent="0.3">
      <c r="A73" s="24" t="str">
        <f t="shared" si="14"/>
        <v>L007S009</v>
      </c>
      <c r="B73" s="32" t="s">
        <v>53</v>
      </c>
      <c r="C73" s="33" t="s">
        <v>45</v>
      </c>
      <c r="D73" s="33" t="s">
        <v>26</v>
      </c>
      <c r="E73" s="24" t="str">
        <f t="shared" si="11"/>
        <v>Communication</v>
      </c>
      <c r="F73" s="24" t="str">
        <f t="shared" si="11"/>
        <v>IN_6</v>
      </c>
      <c r="G73" s="24" t="str">
        <f t="shared" si="11"/>
        <v>Workshop</v>
      </c>
      <c r="H73" s="24" t="str">
        <f t="shared" si="12"/>
        <v>Offline</v>
      </c>
      <c r="I73" s="24">
        <v>5</v>
      </c>
      <c r="J73" s="24">
        <f t="shared" si="13"/>
        <v>5</v>
      </c>
      <c r="K73" s="35">
        <f t="shared" si="15"/>
        <v>0.25</v>
      </c>
      <c r="L73" s="24">
        <f t="shared" si="16"/>
        <v>0.05</v>
      </c>
      <c r="M73" s="41"/>
    </row>
    <row r="74" spans="1:13" s="34" customFormat="1" ht="15.75" customHeight="1" x14ac:dyDescent="0.3">
      <c r="A74" s="24" t="str">
        <f t="shared" si="14"/>
        <v>L007S007</v>
      </c>
      <c r="B74" s="32" t="s">
        <v>53</v>
      </c>
      <c r="C74" s="33" t="s">
        <v>35</v>
      </c>
      <c r="D74" s="33" t="s">
        <v>26</v>
      </c>
      <c r="E74" s="24" t="str">
        <f t="shared" si="11"/>
        <v>Communication</v>
      </c>
      <c r="F74" s="24" t="str">
        <f t="shared" si="11"/>
        <v>IN_1</v>
      </c>
      <c r="G74" s="24" t="str">
        <f t="shared" si="11"/>
        <v>Practical</v>
      </c>
      <c r="H74" s="24" t="str">
        <f t="shared" si="12"/>
        <v>Offline</v>
      </c>
      <c r="I74" s="24">
        <v>0</v>
      </c>
      <c r="J74" s="24">
        <f t="shared" si="13"/>
        <v>0</v>
      </c>
      <c r="K74" s="35">
        <f t="shared" si="15"/>
        <v>0</v>
      </c>
      <c r="L74" s="24">
        <f t="shared" si="16"/>
        <v>0</v>
      </c>
      <c r="M74" s="41"/>
    </row>
    <row r="75" spans="1:13" s="34" customFormat="1" ht="15.75" customHeight="1" x14ac:dyDescent="0.3">
      <c r="A75" s="24" t="str">
        <f t="shared" si="14"/>
        <v>L008S019</v>
      </c>
      <c r="B75" s="32" t="s">
        <v>54</v>
      </c>
      <c r="C75" s="33" t="s">
        <v>38</v>
      </c>
      <c r="D75" s="33" t="s">
        <v>26</v>
      </c>
      <c r="E75" s="24" t="str">
        <f t="shared" si="11"/>
        <v>CS Fundamentals</v>
      </c>
      <c r="F75" s="24" t="str">
        <f t="shared" si="11"/>
        <v>IN_6</v>
      </c>
      <c r="G75" s="24" t="str">
        <f t="shared" si="11"/>
        <v>Workshop</v>
      </c>
      <c r="H75" s="24" t="str">
        <f t="shared" si="12"/>
        <v>Offline</v>
      </c>
      <c r="I75" s="24">
        <v>0</v>
      </c>
      <c r="J75" s="24">
        <f t="shared" si="13"/>
        <v>0</v>
      </c>
      <c r="K75" s="35">
        <f t="shared" si="15"/>
        <v>0</v>
      </c>
      <c r="L75" s="24">
        <f t="shared" si="16"/>
        <v>0</v>
      </c>
      <c r="M75" s="41"/>
    </row>
    <row r="76" spans="1:13" s="34" customFormat="1" ht="15.75" customHeight="1" x14ac:dyDescent="0.3">
      <c r="A76" s="24" t="str">
        <f t="shared" si="14"/>
        <v>L008S012</v>
      </c>
      <c r="B76" s="32" t="s">
        <v>54</v>
      </c>
      <c r="C76" s="33" t="s">
        <v>33</v>
      </c>
      <c r="D76" s="33" t="s">
        <v>26</v>
      </c>
      <c r="E76" s="24" t="str">
        <f t="shared" si="11"/>
        <v>Foundations of ML</v>
      </c>
      <c r="F76" s="24" t="str">
        <f t="shared" si="11"/>
        <v>IN_1</v>
      </c>
      <c r="G76" s="24" t="str">
        <f t="shared" si="11"/>
        <v>Workshop</v>
      </c>
      <c r="H76" s="24" t="str">
        <f t="shared" si="12"/>
        <v>Offline</v>
      </c>
      <c r="I76" s="24">
        <v>0</v>
      </c>
      <c r="J76" s="24">
        <f t="shared" si="13"/>
        <v>0</v>
      </c>
      <c r="K76" s="35">
        <f t="shared" si="15"/>
        <v>0</v>
      </c>
      <c r="L76" s="24">
        <f t="shared" si="16"/>
        <v>0</v>
      </c>
      <c r="M76" s="41"/>
    </row>
    <row r="77" spans="1:13" s="34" customFormat="1" ht="15.75" customHeight="1" x14ac:dyDescent="0.3">
      <c r="A77" s="24" t="str">
        <f t="shared" si="14"/>
        <v>L008S004</v>
      </c>
      <c r="B77" s="32" t="s">
        <v>54</v>
      </c>
      <c r="C77" s="33" t="s">
        <v>47</v>
      </c>
      <c r="D77" s="33" t="s">
        <v>26</v>
      </c>
      <c r="E77" s="24" t="str">
        <f t="shared" si="11"/>
        <v>Foundations of ML</v>
      </c>
      <c r="F77" s="24" t="str">
        <f t="shared" si="11"/>
        <v>IN_4</v>
      </c>
      <c r="G77" s="24" t="str">
        <f t="shared" si="11"/>
        <v>Workshop</v>
      </c>
      <c r="H77" s="24" t="str">
        <f t="shared" si="12"/>
        <v>Online</v>
      </c>
      <c r="I77" s="24">
        <v>16</v>
      </c>
      <c r="J77" s="24">
        <f t="shared" si="13"/>
        <v>16</v>
      </c>
      <c r="K77" s="35">
        <f t="shared" si="15"/>
        <v>0.8</v>
      </c>
      <c r="L77" s="24">
        <f t="shared" si="16"/>
        <v>0.16000000000000003</v>
      </c>
      <c r="M77" s="41"/>
    </row>
    <row r="78" spans="1:13" s="34" customFormat="1" ht="15.75" customHeight="1" x14ac:dyDescent="0.3">
      <c r="A78" s="24" t="str">
        <f t="shared" si="14"/>
        <v>L008S009</v>
      </c>
      <c r="B78" s="32" t="s">
        <v>54</v>
      </c>
      <c r="C78" s="33" t="s">
        <v>45</v>
      </c>
      <c r="D78" s="33" t="s">
        <v>26</v>
      </c>
      <c r="E78" s="24" t="str">
        <f t="shared" si="11"/>
        <v>Communication</v>
      </c>
      <c r="F78" s="24" t="str">
        <f t="shared" si="11"/>
        <v>IN_6</v>
      </c>
      <c r="G78" s="24" t="str">
        <f t="shared" si="11"/>
        <v>Workshop</v>
      </c>
      <c r="H78" s="24" t="str">
        <f t="shared" si="12"/>
        <v>Offline</v>
      </c>
      <c r="I78" s="24">
        <v>0</v>
      </c>
      <c r="J78" s="24">
        <f t="shared" si="13"/>
        <v>0</v>
      </c>
      <c r="K78" s="35">
        <f t="shared" si="15"/>
        <v>0</v>
      </c>
      <c r="L78" s="24">
        <f t="shared" si="16"/>
        <v>0</v>
      </c>
      <c r="M78" s="41"/>
    </row>
    <row r="79" spans="1:13" s="34" customFormat="1" ht="15.75" customHeight="1" x14ac:dyDescent="0.3">
      <c r="A79" s="24" t="str">
        <f t="shared" si="14"/>
        <v>L008S018</v>
      </c>
      <c r="B79" s="32" t="s">
        <v>54</v>
      </c>
      <c r="C79" s="33" t="s">
        <v>25</v>
      </c>
      <c r="D79" s="33" t="s">
        <v>26</v>
      </c>
      <c r="E79" s="24" t="str">
        <f t="shared" si="11"/>
        <v>CS Fundamentals</v>
      </c>
      <c r="F79" s="24" t="str">
        <f t="shared" si="11"/>
        <v>IN_5</v>
      </c>
      <c r="G79" s="24" t="str">
        <f t="shared" si="11"/>
        <v>Practical</v>
      </c>
      <c r="H79" s="24" t="str">
        <f t="shared" si="12"/>
        <v>Online</v>
      </c>
      <c r="I79" s="24">
        <v>5</v>
      </c>
      <c r="J79" s="24">
        <f t="shared" si="13"/>
        <v>5</v>
      </c>
      <c r="K79" s="35">
        <f t="shared" si="15"/>
        <v>0.25</v>
      </c>
      <c r="L79" s="24">
        <f t="shared" si="16"/>
        <v>0.1</v>
      </c>
      <c r="M79" s="41"/>
    </row>
    <row r="80" spans="1:13" s="34" customFormat="1" ht="15.75" customHeight="1" x14ac:dyDescent="0.3">
      <c r="A80" s="24" t="str">
        <f t="shared" si="14"/>
        <v>L009S018</v>
      </c>
      <c r="B80" s="32" t="s">
        <v>55</v>
      </c>
      <c r="C80" s="33" t="s">
        <v>25</v>
      </c>
      <c r="D80" s="33" t="s">
        <v>26</v>
      </c>
      <c r="E80" s="24" t="str">
        <f t="shared" si="11"/>
        <v>CS Fundamentals</v>
      </c>
      <c r="F80" s="24" t="str">
        <f t="shared" si="11"/>
        <v>IN_5</v>
      </c>
      <c r="G80" s="24" t="str">
        <f t="shared" si="11"/>
        <v>Practical</v>
      </c>
      <c r="H80" s="24" t="str">
        <f t="shared" si="12"/>
        <v>Online</v>
      </c>
      <c r="I80" s="24">
        <v>5</v>
      </c>
      <c r="J80" s="24">
        <f t="shared" si="13"/>
        <v>5</v>
      </c>
      <c r="K80" s="35">
        <f t="shared" si="15"/>
        <v>0.25</v>
      </c>
      <c r="L80" s="24">
        <f t="shared" si="16"/>
        <v>0.1</v>
      </c>
      <c r="M80" s="41"/>
    </row>
    <row r="81" spans="1:13" s="34" customFormat="1" ht="15.75" customHeight="1" x14ac:dyDescent="0.3">
      <c r="A81" s="24" t="str">
        <f t="shared" si="14"/>
        <v>L009S001</v>
      </c>
      <c r="B81" s="32" t="s">
        <v>55</v>
      </c>
      <c r="C81" s="33" t="s">
        <v>43</v>
      </c>
      <c r="D81" s="33" t="s">
        <v>26</v>
      </c>
      <c r="E81" s="24" t="str">
        <f t="shared" si="11"/>
        <v>CS Fundamentals</v>
      </c>
      <c r="F81" s="24" t="str">
        <f t="shared" si="11"/>
        <v>IN_2</v>
      </c>
      <c r="G81" s="24" t="str">
        <f t="shared" si="11"/>
        <v>Theory Session</v>
      </c>
      <c r="H81" s="24" t="str">
        <f t="shared" si="12"/>
        <v>Online</v>
      </c>
      <c r="I81" s="24">
        <v>0</v>
      </c>
      <c r="J81" s="24">
        <f t="shared" si="13"/>
        <v>0</v>
      </c>
      <c r="K81" s="35">
        <f t="shared" si="15"/>
        <v>0</v>
      </c>
      <c r="L81" s="24">
        <f t="shared" si="16"/>
        <v>0</v>
      </c>
      <c r="M81" s="41"/>
    </row>
    <row r="82" spans="1:13" s="34" customFormat="1" ht="15.75" customHeight="1" x14ac:dyDescent="0.3">
      <c r="A82" s="24" t="str">
        <f t="shared" si="14"/>
        <v>L009S014</v>
      </c>
      <c r="B82" s="32" t="s">
        <v>55</v>
      </c>
      <c r="C82" s="33" t="s">
        <v>46</v>
      </c>
      <c r="D82" s="33" t="s">
        <v>26</v>
      </c>
      <c r="E82" s="24" t="str">
        <f t="shared" si="11"/>
        <v>Foundations of ML</v>
      </c>
      <c r="F82" s="24" t="str">
        <f t="shared" si="11"/>
        <v>IN_2</v>
      </c>
      <c r="G82" s="24" t="str">
        <f t="shared" si="11"/>
        <v>Theory Session</v>
      </c>
      <c r="H82" s="24" t="str">
        <f t="shared" si="12"/>
        <v>Online</v>
      </c>
      <c r="I82" s="24">
        <v>0</v>
      </c>
      <c r="J82" s="24">
        <f t="shared" si="13"/>
        <v>0</v>
      </c>
      <c r="K82" s="35">
        <f t="shared" si="15"/>
        <v>0</v>
      </c>
      <c r="L82" s="24">
        <f t="shared" si="16"/>
        <v>0</v>
      </c>
      <c r="M82" s="41"/>
    </row>
    <row r="83" spans="1:13" s="34" customFormat="1" ht="15.75" customHeight="1" x14ac:dyDescent="0.3">
      <c r="A83" s="24" t="str">
        <f t="shared" si="14"/>
        <v>L009S005</v>
      </c>
      <c r="B83" s="32" t="s">
        <v>55</v>
      </c>
      <c r="C83" s="33" t="s">
        <v>36</v>
      </c>
      <c r="D83" s="33" t="s">
        <v>26</v>
      </c>
      <c r="E83" s="24" t="str">
        <f t="shared" ref="E83:G102" si="17">VLOOKUP($C83,session_details,E$1,FALSE)</f>
        <v>Algebra Basics</v>
      </c>
      <c r="F83" s="24" t="str">
        <f t="shared" si="17"/>
        <v>IN_4</v>
      </c>
      <c r="G83" s="24" t="str">
        <f t="shared" si="17"/>
        <v>Workshop</v>
      </c>
      <c r="H83" s="24" t="str">
        <f t="shared" si="12"/>
        <v>Online</v>
      </c>
      <c r="I83" s="24">
        <v>0</v>
      </c>
      <c r="J83" s="24">
        <f t="shared" si="13"/>
        <v>0</v>
      </c>
      <c r="K83" s="35">
        <f t="shared" si="15"/>
        <v>0</v>
      </c>
      <c r="L83" s="24">
        <f t="shared" si="16"/>
        <v>0</v>
      </c>
      <c r="M83" s="41"/>
    </row>
    <row r="84" spans="1:13" s="34" customFormat="1" ht="15.75" customHeight="1" x14ac:dyDescent="0.3">
      <c r="A84" s="24" t="str">
        <f t="shared" si="14"/>
        <v>L009S006</v>
      </c>
      <c r="B84" s="32" t="s">
        <v>55</v>
      </c>
      <c r="C84" s="33" t="s">
        <v>40</v>
      </c>
      <c r="D84" s="33" t="s">
        <v>26</v>
      </c>
      <c r="E84" s="24" t="str">
        <f t="shared" si="17"/>
        <v>Communication</v>
      </c>
      <c r="F84" s="24" t="str">
        <f t="shared" si="17"/>
        <v>IN_6</v>
      </c>
      <c r="G84" s="24" t="str">
        <f t="shared" si="17"/>
        <v>Theory Session</v>
      </c>
      <c r="H84" s="24" t="str">
        <f t="shared" si="12"/>
        <v>Online</v>
      </c>
      <c r="I84" s="24">
        <v>14</v>
      </c>
      <c r="J84" s="24">
        <f t="shared" si="13"/>
        <v>14</v>
      </c>
      <c r="K84" s="35">
        <f t="shared" si="15"/>
        <v>0.7</v>
      </c>
      <c r="L84" s="24">
        <f t="shared" si="16"/>
        <v>0.27999999999999997</v>
      </c>
      <c r="M84" s="41"/>
    </row>
    <row r="85" spans="1:13" s="34" customFormat="1" ht="15.75" customHeight="1" x14ac:dyDescent="0.3">
      <c r="A85" s="24" t="str">
        <f t="shared" si="14"/>
        <v>L009S012</v>
      </c>
      <c r="B85" s="32" t="s">
        <v>55</v>
      </c>
      <c r="C85" s="33" t="s">
        <v>33</v>
      </c>
      <c r="D85" s="33" t="s">
        <v>37</v>
      </c>
      <c r="E85" s="24" t="str">
        <f t="shared" si="17"/>
        <v>Foundations of ML</v>
      </c>
      <c r="F85" s="24" t="str">
        <f t="shared" si="17"/>
        <v>IN_1</v>
      </c>
      <c r="G85" s="24" t="str">
        <f t="shared" si="17"/>
        <v>Workshop</v>
      </c>
      <c r="H85" s="24" t="str">
        <f t="shared" si="12"/>
        <v>Offline</v>
      </c>
      <c r="I85" s="24">
        <v>15</v>
      </c>
      <c r="J85" s="24">
        <f t="shared" si="13"/>
        <v>15</v>
      </c>
      <c r="K85" s="35">
        <f t="shared" si="15"/>
        <v>0.75</v>
      </c>
      <c r="L85" s="24">
        <f t="shared" si="16"/>
        <v>0.15000000000000002</v>
      </c>
      <c r="M85" s="41"/>
    </row>
    <row r="86" spans="1:13" s="34" customFormat="1" ht="15.75" customHeight="1" x14ac:dyDescent="0.3">
      <c r="A86" s="24" t="str">
        <f t="shared" si="14"/>
        <v>L009S016</v>
      </c>
      <c r="B86" s="32" t="s">
        <v>55</v>
      </c>
      <c r="C86" s="33" t="s">
        <v>27</v>
      </c>
      <c r="D86" s="33" t="s">
        <v>26</v>
      </c>
      <c r="E86" s="24" t="str">
        <f t="shared" si="17"/>
        <v>Algebra Basics</v>
      </c>
      <c r="F86" s="24" t="str">
        <f t="shared" si="17"/>
        <v>IN_2</v>
      </c>
      <c r="G86" s="24" t="str">
        <f t="shared" si="17"/>
        <v>Workshop</v>
      </c>
      <c r="H86" s="24" t="str">
        <f t="shared" si="12"/>
        <v>Offline</v>
      </c>
      <c r="I86" s="24">
        <v>0</v>
      </c>
      <c r="J86" s="24">
        <f t="shared" si="13"/>
        <v>0</v>
      </c>
      <c r="K86" s="35">
        <f t="shared" si="15"/>
        <v>0</v>
      </c>
      <c r="L86" s="24">
        <f t="shared" si="16"/>
        <v>0</v>
      </c>
      <c r="M86" s="41"/>
    </row>
    <row r="87" spans="1:13" s="34" customFormat="1" ht="15.75" customHeight="1" x14ac:dyDescent="0.3">
      <c r="A87" s="24" t="str">
        <f t="shared" si="14"/>
        <v>L009S015</v>
      </c>
      <c r="B87" s="32" t="s">
        <v>55</v>
      </c>
      <c r="C87" s="33" t="s">
        <v>41</v>
      </c>
      <c r="D87" s="33" t="s">
        <v>26</v>
      </c>
      <c r="E87" s="24" t="str">
        <f t="shared" si="17"/>
        <v>Foundations of ML</v>
      </c>
      <c r="F87" s="24" t="str">
        <f t="shared" si="17"/>
        <v>IN_4</v>
      </c>
      <c r="G87" s="24" t="str">
        <f t="shared" si="17"/>
        <v>Practical</v>
      </c>
      <c r="H87" s="24" t="str">
        <f t="shared" si="12"/>
        <v>Offline</v>
      </c>
      <c r="I87" s="24">
        <v>18</v>
      </c>
      <c r="J87" s="24">
        <f t="shared" si="13"/>
        <v>18</v>
      </c>
      <c r="K87" s="35">
        <f t="shared" si="15"/>
        <v>0.9</v>
      </c>
      <c r="L87" s="24">
        <f t="shared" si="16"/>
        <v>0.36000000000000004</v>
      </c>
      <c r="M87" s="41"/>
    </row>
    <row r="88" spans="1:13" s="34" customFormat="1" ht="15.75" customHeight="1" x14ac:dyDescent="0.3">
      <c r="A88" s="24" t="str">
        <f t="shared" si="14"/>
        <v>L009S017</v>
      </c>
      <c r="B88" s="32" t="s">
        <v>55</v>
      </c>
      <c r="C88" s="33" t="s">
        <v>28</v>
      </c>
      <c r="D88" s="33" t="s">
        <v>26</v>
      </c>
      <c r="E88" s="24" t="str">
        <f t="shared" si="17"/>
        <v>Communication</v>
      </c>
      <c r="F88" s="24" t="str">
        <f t="shared" si="17"/>
        <v>IN_7</v>
      </c>
      <c r="G88" s="24" t="str">
        <f t="shared" si="17"/>
        <v>Practical</v>
      </c>
      <c r="H88" s="24" t="str">
        <f t="shared" si="12"/>
        <v>Offline</v>
      </c>
      <c r="I88" s="24">
        <v>15</v>
      </c>
      <c r="J88" s="24">
        <f t="shared" si="13"/>
        <v>15</v>
      </c>
      <c r="K88" s="35">
        <f t="shared" si="15"/>
        <v>0.75</v>
      </c>
      <c r="L88" s="24">
        <f t="shared" si="16"/>
        <v>0.30000000000000004</v>
      </c>
      <c r="M88" s="41"/>
    </row>
    <row r="89" spans="1:13" s="34" customFormat="1" ht="15.75" customHeight="1" x14ac:dyDescent="0.3">
      <c r="A89" s="24" t="str">
        <f t="shared" si="14"/>
        <v>L010S007</v>
      </c>
      <c r="B89" s="32" t="s">
        <v>56</v>
      </c>
      <c r="C89" s="33" t="s">
        <v>35</v>
      </c>
      <c r="D89" s="33" t="s">
        <v>26</v>
      </c>
      <c r="E89" s="24" t="str">
        <f t="shared" si="17"/>
        <v>Communication</v>
      </c>
      <c r="F89" s="24" t="str">
        <f t="shared" si="17"/>
        <v>IN_1</v>
      </c>
      <c r="G89" s="24" t="str">
        <f t="shared" si="17"/>
        <v>Practical</v>
      </c>
      <c r="H89" s="24" t="str">
        <f t="shared" si="12"/>
        <v>Offline</v>
      </c>
      <c r="I89" s="24">
        <v>20</v>
      </c>
      <c r="J89" s="24">
        <f t="shared" si="13"/>
        <v>20</v>
      </c>
      <c r="K89" s="35">
        <f t="shared" si="15"/>
        <v>1</v>
      </c>
      <c r="L89" s="24">
        <f t="shared" si="16"/>
        <v>0.4</v>
      </c>
      <c r="M89" s="41"/>
    </row>
    <row r="90" spans="1:13" s="34" customFormat="1" ht="15.75" customHeight="1" x14ac:dyDescent="0.3">
      <c r="A90" s="24" t="str">
        <f t="shared" si="14"/>
        <v>L010S010</v>
      </c>
      <c r="B90" s="32" t="s">
        <v>56</v>
      </c>
      <c r="C90" s="33" t="s">
        <v>34</v>
      </c>
      <c r="D90" s="33" t="s">
        <v>26</v>
      </c>
      <c r="E90" s="24" t="str">
        <f t="shared" si="17"/>
        <v>Foundations of ML</v>
      </c>
      <c r="F90" s="24" t="str">
        <f t="shared" si="17"/>
        <v>IN_6</v>
      </c>
      <c r="G90" s="24" t="str">
        <f t="shared" si="17"/>
        <v>Theory Session</v>
      </c>
      <c r="H90" s="24" t="str">
        <f t="shared" si="12"/>
        <v>Offline</v>
      </c>
      <c r="I90" s="24">
        <v>0</v>
      </c>
      <c r="J90" s="24">
        <f t="shared" si="13"/>
        <v>0</v>
      </c>
      <c r="K90" s="35">
        <f t="shared" si="15"/>
        <v>0</v>
      </c>
      <c r="L90" s="24">
        <f t="shared" si="16"/>
        <v>0</v>
      </c>
      <c r="M90" s="41"/>
    </row>
    <row r="91" spans="1:13" s="34" customFormat="1" ht="15.75" customHeight="1" x14ac:dyDescent="0.3">
      <c r="A91" s="24" t="str">
        <f t="shared" si="14"/>
        <v>L010S018</v>
      </c>
      <c r="B91" s="32" t="s">
        <v>56</v>
      </c>
      <c r="C91" s="33" t="s">
        <v>25</v>
      </c>
      <c r="D91" s="33" t="s">
        <v>26</v>
      </c>
      <c r="E91" s="24" t="str">
        <f t="shared" si="17"/>
        <v>CS Fundamentals</v>
      </c>
      <c r="F91" s="24" t="str">
        <f t="shared" si="17"/>
        <v>IN_5</v>
      </c>
      <c r="G91" s="24" t="str">
        <f t="shared" si="17"/>
        <v>Practical</v>
      </c>
      <c r="H91" s="24" t="str">
        <f t="shared" si="12"/>
        <v>Online</v>
      </c>
      <c r="I91" s="24">
        <v>4</v>
      </c>
      <c r="J91" s="24">
        <f t="shared" si="13"/>
        <v>4</v>
      </c>
      <c r="K91" s="35">
        <f t="shared" si="15"/>
        <v>0.2</v>
      </c>
      <c r="L91" s="24">
        <f t="shared" si="16"/>
        <v>8.0000000000000016E-2</v>
      </c>
      <c r="M91" s="41"/>
    </row>
    <row r="92" spans="1:13" s="34" customFormat="1" ht="15.75" customHeight="1" x14ac:dyDescent="0.3">
      <c r="A92" s="24" t="str">
        <f t="shared" si="14"/>
        <v>L010S011</v>
      </c>
      <c r="B92" s="32" t="s">
        <v>56</v>
      </c>
      <c r="C92" s="33" t="s">
        <v>39</v>
      </c>
      <c r="D92" s="33" t="s">
        <v>37</v>
      </c>
      <c r="E92" s="24" t="str">
        <f t="shared" si="17"/>
        <v>Algebra Basics</v>
      </c>
      <c r="F92" s="24" t="str">
        <f t="shared" si="17"/>
        <v>IN_4</v>
      </c>
      <c r="G92" s="24" t="str">
        <f t="shared" si="17"/>
        <v>Theory Session</v>
      </c>
      <c r="H92" s="24" t="str">
        <f t="shared" si="12"/>
        <v>Online</v>
      </c>
      <c r="I92" s="24">
        <v>4</v>
      </c>
      <c r="J92" s="24">
        <f t="shared" si="13"/>
        <v>4</v>
      </c>
      <c r="K92" s="35">
        <f t="shared" si="15"/>
        <v>0.2</v>
      </c>
      <c r="L92" s="24">
        <f t="shared" si="16"/>
        <v>8.0000000000000016E-2</v>
      </c>
      <c r="M92" s="41"/>
    </row>
    <row r="93" spans="1:13" s="34" customFormat="1" ht="15.75" customHeight="1" x14ac:dyDescent="0.3">
      <c r="A93" s="24" t="str">
        <f t="shared" si="14"/>
        <v>L010S015</v>
      </c>
      <c r="B93" s="32" t="s">
        <v>56</v>
      </c>
      <c r="C93" s="33" t="s">
        <v>41</v>
      </c>
      <c r="D93" s="33" t="s">
        <v>26</v>
      </c>
      <c r="E93" s="24" t="str">
        <f t="shared" si="17"/>
        <v>Foundations of ML</v>
      </c>
      <c r="F93" s="24" t="str">
        <f t="shared" si="17"/>
        <v>IN_4</v>
      </c>
      <c r="G93" s="24" t="str">
        <f t="shared" si="17"/>
        <v>Practical</v>
      </c>
      <c r="H93" s="24" t="str">
        <f t="shared" si="12"/>
        <v>Offline</v>
      </c>
      <c r="I93" s="24">
        <v>13</v>
      </c>
      <c r="J93" s="24">
        <f t="shared" si="13"/>
        <v>13</v>
      </c>
      <c r="K93" s="35">
        <f t="shared" si="15"/>
        <v>0.65</v>
      </c>
      <c r="L93" s="24">
        <f t="shared" si="16"/>
        <v>0.26</v>
      </c>
      <c r="M93" s="41"/>
    </row>
    <row r="94" spans="1:13" s="34" customFormat="1" ht="15.75" customHeight="1" x14ac:dyDescent="0.3">
      <c r="A94" s="24" t="str">
        <f t="shared" si="14"/>
        <v>L010S012</v>
      </c>
      <c r="B94" s="32" t="s">
        <v>56</v>
      </c>
      <c r="C94" s="33" t="s">
        <v>33</v>
      </c>
      <c r="D94" s="33" t="s">
        <v>26</v>
      </c>
      <c r="E94" s="24" t="str">
        <f t="shared" si="17"/>
        <v>Foundations of ML</v>
      </c>
      <c r="F94" s="24" t="str">
        <f t="shared" si="17"/>
        <v>IN_1</v>
      </c>
      <c r="G94" s="24" t="str">
        <f t="shared" si="17"/>
        <v>Workshop</v>
      </c>
      <c r="H94" s="24" t="str">
        <f t="shared" si="12"/>
        <v>Offline</v>
      </c>
      <c r="I94" s="24">
        <v>0</v>
      </c>
      <c r="J94" s="24">
        <f t="shared" si="13"/>
        <v>0</v>
      </c>
      <c r="K94" s="35">
        <f t="shared" si="15"/>
        <v>0</v>
      </c>
      <c r="L94" s="24">
        <f t="shared" si="16"/>
        <v>0</v>
      </c>
      <c r="M94" s="41"/>
    </row>
    <row r="95" spans="1:13" s="34" customFormat="1" ht="15.75" customHeight="1" x14ac:dyDescent="0.3">
      <c r="A95" s="24" t="str">
        <f t="shared" si="14"/>
        <v>L010S008</v>
      </c>
      <c r="B95" s="32" t="s">
        <v>56</v>
      </c>
      <c r="C95" s="33" t="s">
        <v>32</v>
      </c>
      <c r="D95" s="33" t="s">
        <v>26</v>
      </c>
      <c r="E95" s="24" t="str">
        <f t="shared" si="17"/>
        <v>CS Fundamentals</v>
      </c>
      <c r="F95" s="24" t="str">
        <f t="shared" si="17"/>
        <v>IN_2</v>
      </c>
      <c r="G95" s="24" t="str">
        <f t="shared" si="17"/>
        <v>Practical</v>
      </c>
      <c r="H95" s="24" t="str">
        <f t="shared" si="12"/>
        <v>Online</v>
      </c>
      <c r="I95" s="24">
        <v>7</v>
      </c>
      <c r="J95" s="24">
        <f t="shared" si="13"/>
        <v>7</v>
      </c>
      <c r="K95" s="35">
        <f t="shared" si="15"/>
        <v>0.35</v>
      </c>
      <c r="L95" s="24">
        <f t="shared" si="16"/>
        <v>0.13999999999999999</v>
      </c>
      <c r="M95" s="41"/>
    </row>
    <row r="96" spans="1:13" s="34" customFormat="1" ht="15.75" customHeight="1" x14ac:dyDescent="0.3">
      <c r="A96" s="24" t="str">
        <f t="shared" si="14"/>
        <v>L010S017</v>
      </c>
      <c r="B96" s="32" t="s">
        <v>56</v>
      </c>
      <c r="C96" s="33" t="s">
        <v>28</v>
      </c>
      <c r="D96" s="33" t="s">
        <v>29</v>
      </c>
      <c r="E96" s="24" t="str">
        <f t="shared" si="17"/>
        <v>Communication</v>
      </c>
      <c r="F96" s="24" t="str">
        <f t="shared" si="17"/>
        <v>IN_7</v>
      </c>
      <c r="G96" s="24" t="str">
        <f t="shared" si="17"/>
        <v>Practical</v>
      </c>
      <c r="H96" s="24" t="str">
        <f t="shared" si="12"/>
        <v>Offline</v>
      </c>
      <c r="I96" s="24">
        <v>20</v>
      </c>
      <c r="J96" s="24">
        <f t="shared" si="13"/>
        <v>15</v>
      </c>
      <c r="K96" s="35">
        <f t="shared" si="15"/>
        <v>0.75</v>
      </c>
      <c r="L96" s="24">
        <f t="shared" si="16"/>
        <v>0.30000000000000004</v>
      </c>
      <c r="M96" s="41"/>
    </row>
    <row r="97" spans="1:13" s="34" customFormat="1" ht="15.75" customHeight="1" x14ac:dyDescent="0.3">
      <c r="A97" s="24" t="str">
        <f t="shared" si="14"/>
        <v>L011S015</v>
      </c>
      <c r="B97" s="32" t="s">
        <v>57</v>
      </c>
      <c r="C97" s="33" t="s">
        <v>41</v>
      </c>
      <c r="D97" s="33" t="s">
        <v>26</v>
      </c>
      <c r="E97" s="24" t="str">
        <f t="shared" si="17"/>
        <v>Foundations of ML</v>
      </c>
      <c r="F97" s="24" t="str">
        <f t="shared" si="17"/>
        <v>IN_4</v>
      </c>
      <c r="G97" s="24" t="str">
        <f t="shared" si="17"/>
        <v>Practical</v>
      </c>
      <c r="H97" s="24" t="str">
        <f t="shared" si="12"/>
        <v>Offline</v>
      </c>
      <c r="I97" s="24">
        <v>5</v>
      </c>
      <c r="J97" s="24">
        <f t="shared" si="13"/>
        <v>5</v>
      </c>
      <c r="K97" s="35">
        <f t="shared" si="15"/>
        <v>0.25</v>
      </c>
      <c r="L97" s="24">
        <f t="shared" si="16"/>
        <v>0.1</v>
      </c>
      <c r="M97" s="41"/>
    </row>
    <row r="98" spans="1:13" s="34" customFormat="1" ht="15.75" customHeight="1" x14ac:dyDescent="0.3">
      <c r="A98" s="24" t="str">
        <f t="shared" si="14"/>
        <v>L011S003</v>
      </c>
      <c r="B98" s="32" t="s">
        <v>57</v>
      </c>
      <c r="C98" s="33" t="s">
        <v>50</v>
      </c>
      <c r="D98" s="33" t="s">
        <v>26</v>
      </c>
      <c r="E98" s="24" t="str">
        <f t="shared" si="17"/>
        <v>Algebra Basics</v>
      </c>
      <c r="F98" s="24" t="str">
        <f t="shared" si="17"/>
        <v>IN_7</v>
      </c>
      <c r="G98" s="24" t="str">
        <f t="shared" si="17"/>
        <v>Workshop</v>
      </c>
      <c r="H98" s="24" t="str">
        <f t="shared" si="12"/>
        <v>Offline</v>
      </c>
      <c r="I98" s="24">
        <v>17</v>
      </c>
      <c r="J98" s="24">
        <f t="shared" si="13"/>
        <v>17</v>
      </c>
      <c r="K98" s="35">
        <f t="shared" si="15"/>
        <v>0.85</v>
      </c>
      <c r="L98" s="24">
        <f t="shared" si="16"/>
        <v>0.17</v>
      </c>
      <c r="M98" s="41"/>
    </row>
    <row r="99" spans="1:13" s="34" customFormat="1" ht="15.75" customHeight="1" x14ac:dyDescent="0.3">
      <c r="A99" s="24" t="str">
        <f t="shared" si="14"/>
        <v>L011S011</v>
      </c>
      <c r="B99" s="32" t="s">
        <v>57</v>
      </c>
      <c r="C99" s="33" t="s">
        <v>39</v>
      </c>
      <c r="D99" s="33" t="s">
        <v>26</v>
      </c>
      <c r="E99" s="24" t="str">
        <f t="shared" si="17"/>
        <v>Algebra Basics</v>
      </c>
      <c r="F99" s="24" t="str">
        <f t="shared" si="17"/>
        <v>IN_4</v>
      </c>
      <c r="G99" s="24" t="str">
        <f t="shared" si="17"/>
        <v>Theory Session</v>
      </c>
      <c r="H99" s="24" t="str">
        <f t="shared" si="12"/>
        <v>Online</v>
      </c>
      <c r="I99" s="24">
        <v>7</v>
      </c>
      <c r="J99" s="24">
        <f t="shared" si="13"/>
        <v>7</v>
      </c>
      <c r="K99" s="35">
        <f t="shared" si="15"/>
        <v>0.35</v>
      </c>
      <c r="L99" s="24">
        <f t="shared" si="16"/>
        <v>0.13999999999999999</v>
      </c>
      <c r="M99" s="41"/>
    </row>
    <row r="100" spans="1:13" s="34" customFormat="1" ht="15.75" customHeight="1" x14ac:dyDescent="0.3">
      <c r="A100" s="24" t="str">
        <f t="shared" si="14"/>
        <v>L011S014</v>
      </c>
      <c r="B100" s="32" t="s">
        <v>57</v>
      </c>
      <c r="C100" s="33" t="s">
        <v>46</v>
      </c>
      <c r="D100" s="33" t="s">
        <v>29</v>
      </c>
      <c r="E100" s="24" t="str">
        <f t="shared" si="17"/>
        <v>Foundations of ML</v>
      </c>
      <c r="F100" s="24" t="str">
        <f t="shared" si="17"/>
        <v>IN_2</v>
      </c>
      <c r="G100" s="24" t="str">
        <f t="shared" si="17"/>
        <v>Theory Session</v>
      </c>
      <c r="H100" s="24" t="str">
        <f t="shared" si="12"/>
        <v>Online</v>
      </c>
      <c r="I100" s="24">
        <v>0</v>
      </c>
      <c r="J100" s="24">
        <f t="shared" si="13"/>
        <v>0</v>
      </c>
      <c r="K100" s="35">
        <f t="shared" si="15"/>
        <v>0</v>
      </c>
      <c r="L100" s="24">
        <f t="shared" si="16"/>
        <v>0</v>
      </c>
      <c r="M100" s="41"/>
    </row>
    <row r="101" spans="1:13" s="34" customFormat="1" ht="15.75" customHeight="1" x14ac:dyDescent="0.3">
      <c r="A101" s="24" t="str">
        <f t="shared" si="14"/>
        <v>L011S020</v>
      </c>
      <c r="B101" s="32" t="s">
        <v>57</v>
      </c>
      <c r="C101" s="33" t="s">
        <v>30</v>
      </c>
      <c r="D101" s="33" t="s">
        <v>26</v>
      </c>
      <c r="E101" s="24" t="str">
        <f t="shared" si="17"/>
        <v>Foundations of ML</v>
      </c>
      <c r="F101" s="24" t="str">
        <f t="shared" si="17"/>
        <v>IN_4</v>
      </c>
      <c r="G101" s="24" t="str">
        <f t="shared" si="17"/>
        <v>Workshop</v>
      </c>
      <c r="H101" s="24" t="str">
        <f t="shared" si="12"/>
        <v>Online</v>
      </c>
      <c r="I101" s="24">
        <v>0</v>
      </c>
      <c r="J101" s="24">
        <f t="shared" si="13"/>
        <v>0</v>
      </c>
      <c r="K101" s="35">
        <f t="shared" si="15"/>
        <v>0</v>
      </c>
      <c r="L101" s="24">
        <f t="shared" si="16"/>
        <v>0</v>
      </c>
      <c r="M101" s="41"/>
    </row>
    <row r="102" spans="1:13" s="34" customFormat="1" ht="15.75" customHeight="1" x14ac:dyDescent="0.3">
      <c r="A102" s="24" t="str">
        <f t="shared" si="14"/>
        <v>L011S008</v>
      </c>
      <c r="B102" s="32" t="s">
        <v>57</v>
      </c>
      <c r="C102" s="33" t="s">
        <v>32</v>
      </c>
      <c r="D102" s="33" t="s">
        <v>26</v>
      </c>
      <c r="E102" s="24" t="str">
        <f t="shared" si="17"/>
        <v>CS Fundamentals</v>
      </c>
      <c r="F102" s="24" t="str">
        <f t="shared" si="17"/>
        <v>IN_2</v>
      </c>
      <c r="G102" s="24" t="str">
        <f t="shared" si="17"/>
        <v>Practical</v>
      </c>
      <c r="H102" s="24" t="str">
        <f t="shared" si="12"/>
        <v>Online</v>
      </c>
      <c r="I102" s="24">
        <v>0</v>
      </c>
      <c r="J102" s="24">
        <f t="shared" si="13"/>
        <v>0</v>
      </c>
      <c r="K102" s="35">
        <f t="shared" si="15"/>
        <v>0</v>
      </c>
      <c r="L102" s="24">
        <f t="shared" si="16"/>
        <v>0</v>
      </c>
      <c r="M102" s="41"/>
    </row>
    <row r="103" spans="1:13" s="34" customFormat="1" ht="15.75" customHeight="1" x14ac:dyDescent="0.3">
      <c r="A103" s="24" t="str">
        <f t="shared" si="14"/>
        <v>L011S019</v>
      </c>
      <c r="B103" s="32" t="s">
        <v>57</v>
      </c>
      <c r="C103" s="33" t="s">
        <v>38</v>
      </c>
      <c r="D103" s="33" t="s">
        <v>37</v>
      </c>
      <c r="E103" s="24" t="str">
        <f t="shared" ref="E103:G122" si="18">VLOOKUP($C103,session_details,E$1,FALSE)</f>
        <v>CS Fundamentals</v>
      </c>
      <c r="F103" s="24" t="str">
        <f t="shared" si="18"/>
        <v>IN_6</v>
      </c>
      <c r="G103" s="24" t="str">
        <f t="shared" si="18"/>
        <v>Workshop</v>
      </c>
      <c r="H103" s="24" t="str">
        <f t="shared" si="12"/>
        <v>Offline</v>
      </c>
      <c r="I103" s="24">
        <v>0</v>
      </c>
      <c r="J103" s="24">
        <f t="shared" si="13"/>
        <v>0</v>
      </c>
      <c r="K103" s="35">
        <f t="shared" si="15"/>
        <v>0</v>
      </c>
      <c r="L103" s="24">
        <f t="shared" si="16"/>
        <v>0</v>
      </c>
      <c r="M103" s="41"/>
    </row>
    <row r="104" spans="1:13" s="34" customFormat="1" ht="15.75" customHeight="1" x14ac:dyDescent="0.3">
      <c r="A104" s="24" t="str">
        <f t="shared" si="14"/>
        <v>L011S002</v>
      </c>
      <c r="B104" s="32" t="s">
        <v>57</v>
      </c>
      <c r="C104" s="33" t="s">
        <v>31</v>
      </c>
      <c r="D104" s="33" t="s">
        <v>29</v>
      </c>
      <c r="E104" s="24" t="str">
        <f t="shared" si="18"/>
        <v>CS Fundamentals</v>
      </c>
      <c r="F104" s="24" t="str">
        <f t="shared" si="18"/>
        <v>IN_3</v>
      </c>
      <c r="G104" s="24" t="str">
        <f t="shared" si="18"/>
        <v>Practical</v>
      </c>
      <c r="H104" s="24" t="str">
        <f t="shared" si="12"/>
        <v>Offline</v>
      </c>
      <c r="I104" s="24">
        <v>17</v>
      </c>
      <c r="J104" s="24">
        <f t="shared" si="13"/>
        <v>12</v>
      </c>
      <c r="K104" s="35">
        <f t="shared" si="15"/>
        <v>0.6</v>
      </c>
      <c r="L104" s="24">
        <f t="shared" si="16"/>
        <v>0.24</v>
      </c>
      <c r="M104" s="41"/>
    </row>
    <row r="105" spans="1:13" s="34" customFormat="1" ht="15.75" customHeight="1" x14ac:dyDescent="0.3">
      <c r="A105" s="24" t="str">
        <f t="shared" si="14"/>
        <v>L011S007</v>
      </c>
      <c r="B105" s="32" t="s">
        <v>57</v>
      </c>
      <c r="C105" s="33" t="s">
        <v>35</v>
      </c>
      <c r="D105" s="33" t="s">
        <v>37</v>
      </c>
      <c r="E105" s="24" t="str">
        <f t="shared" si="18"/>
        <v>Communication</v>
      </c>
      <c r="F105" s="24" t="str">
        <f t="shared" si="18"/>
        <v>IN_1</v>
      </c>
      <c r="G105" s="24" t="str">
        <f t="shared" si="18"/>
        <v>Practical</v>
      </c>
      <c r="H105" s="24" t="str">
        <f t="shared" si="12"/>
        <v>Offline</v>
      </c>
      <c r="I105" s="24">
        <v>8</v>
      </c>
      <c r="J105" s="24">
        <f t="shared" si="13"/>
        <v>8</v>
      </c>
      <c r="K105" s="35">
        <f t="shared" si="15"/>
        <v>0.4</v>
      </c>
      <c r="L105" s="24">
        <f t="shared" si="16"/>
        <v>0.16000000000000003</v>
      </c>
      <c r="M105" s="41"/>
    </row>
    <row r="106" spans="1:13" s="34" customFormat="1" ht="15.75" customHeight="1" x14ac:dyDescent="0.3">
      <c r="A106" s="24" t="str">
        <f t="shared" si="14"/>
        <v>L011S016</v>
      </c>
      <c r="B106" s="32" t="s">
        <v>57</v>
      </c>
      <c r="C106" s="33" t="s">
        <v>27</v>
      </c>
      <c r="D106" s="33" t="s">
        <v>29</v>
      </c>
      <c r="E106" s="24" t="str">
        <f t="shared" si="18"/>
        <v>Algebra Basics</v>
      </c>
      <c r="F106" s="24" t="str">
        <f t="shared" si="18"/>
        <v>IN_2</v>
      </c>
      <c r="G106" s="24" t="str">
        <f t="shared" si="18"/>
        <v>Workshop</v>
      </c>
      <c r="H106" s="24" t="str">
        <f t="shared" si="12"/>
        <v>Offline</v>
      </c>
      <c r="I106" s="24">
        <v>0</v>
      </c>
      <c r="J106" s="24">
        <f t="shared" si="13"/>
        <v>0</v>
      </c>
      <c r="K106" s="35">
        <f t="shared" si="15"/>
        <v>0</v>
      </c>
      <c r="L106" s="24">
        <f t="shared" si="16"/>
        <v>0</v>
      </c>
      <c r="M106" s="41"/>
    </row>
    <row r="107" spans="1:13" s="34" customFormat="1" ht="15.75" customHeight="1" x14ac:dyDescent="0.3">
      <c r="A107" s="24" t="str">
        <f t="shared" si="14"/>
        <v>L011S017</v>
      </c>
      <c r="B107" s="32" t="s">
        <v>57</v>
      </c>
      <c r="C107" s="33" t="s">
        <v>28</v>
      </c>
      <c r="D107" s="33" t="s">
        <v>26</v>
      </c>
      <c r="E107" s="24" t="str">
        <f t="shared" si="18"/>
        <v>Communication</v>
      </c>
      <c r="F107" s="24" t="str">
        <f t="shared" si="18"/>
        <v>IN_7</v>
      </c>
      <c r="G107" s="24" t="str">
        <f t="shared" si="18"/>
        <v>Practical</v>
      </c>
      <c r="H107" s="24" t="str">
        <f t="shared" si="12"/>
        <v>Offline</v>
      </c>
      <c r="I107" s="24">
        <v>0</v>
      </c>
      <c r="J107" s="24">
        <f t="shared" si="13"/>
        <v>0</v>
      </c>
      <c r="K107" s="35">
        <f t="shared" si="15"/>
        <v>0</v>
      </c>
      <c r="L107" s="24">
        <f t="shared" si="16"/>
        <v>0</v>
      </c>
      <c r="M107" s="41"/>
    </row>
    <row r="108" spans="1:13" s="34" customFormat="1" ht="15.75" customHeight="1" x14ac:dyDescent="0.3">
      <c r="A108" s="24" t="str">
        <f t="shared" si="14"/>
        <v>L011S012</v>
      </c>
      <c r="B108" s="32" t="s">
        <v>57</v>
      </c>
      <c r="C108" s="33" t="s">
        <v>33</v>
      </c>
      <c r="D108" s="33" t="s">
        <v>29</v>
      </c>
      <c r="E108" s="24" t="str">
        <f t="shared" si="18"/>
        <v>Foundations of ML</v>
      </c>
      <c r="F108" s="24" t="str">
        <f t="shared" si="18"/>
        <v>IN_1</v>
      </c>
      <c r="G108" s="24" t="str">
        <f t="shared" si="18"/>
        <v>Workshop</v>
      </c>
      <c r="H108" s="24" t="str">
        <f t="shared" si="12"/>
        <v>Offline</v>
      </c>
      <c r="I108" s="24">
        <v>17</v>
      </c>
      <c r="J108" s="24">
        <f t="shared" si="13"/>
        <v>12</v>
      </c>
      <c r="K108" s="35">
        <f t="shared" si="15"/>
        <v>0.6</v>
      </c>
      <c r="L108" s="24">
        <f t="shared" si="16"/>
        <v>0.12</v>
      </c>
      <c r="M108" s="41"/>
    </row>
    <row r="109" spans="1:13" s="34" customFormat="1" ht="15.75" customHeight="1" x14ac:dyDescent="0.3">
      <c r="A109" s="24" t="str">
        <f t="shared" si="14"/>
        <v>L011S013</v>
      </c>
      <c r="B109" s="32" t="s">
        <v>57</v>
      </c>
      <c r="C109" s="33" t="s">
        <v>44</v>
      </c>
      <c r="D109" s="33" t="s">
        <v>37</v>
      </c>
      <c r="E109" s="24" t="str">
        <f t="shared" si="18"/>
        <v>Algebra Basics</v>
      </c>
      <c r="F109" s="24" t="str">
        <f t="shared" si="18"/>
        <v>IN_3</v>
      </c>
      <c r="G109" s="24" t="str">
        <f t="shared" si="18"/>
        <v>Workshop</v>
      </c>
      <c r="H109" s="24" t="str">
        <f t="shared" si="12"/>
        <v>Offline</v>
      </c>
      <c r="I109" s="24">
        <v>0</v>
      </c>
      <c r="J109" s="24">
        <f t="shared" si="13"/>
        <v>0</v>
      </c>
      <c r="K109" s="35">
        <f t="shared" si="15"/>
        <v>0</v>
      </c>
      <c r="L109" s="24">
        <f t="shared" si="16"/>
        <v>0</v>
      </c>
      <c r="M109" s="41"/>
    </row>
    <row r="110" spans="1:13" s="34" customFormat="1" ht="15.75" customHeight="1" x14ac:dyDescent="0.3">
      <c r="A110" s="24" t="str">
        <f t="shared" si="14"/>
        <v>L012S006</v>
      </c>
      <c r="B110" s="32" t="s">
        <v>58</v>
      </c>
      <c r="C110" s="33" t="s">
        <v>40</v>
      </c>
      <c r="D110" s="33" t="s">
        <v>26</v>
      </c>
      <c r="E110" s="24" t="str">
        <f t="shared" si="18"/>
        <v>Communication</v>
      </c>
      <c r="F110" s="24" t="str">
        <f t="shared" si="18"/>
        <v>IN_6</v>
      </c>
      <c r="G110" s="24" t="str">
        <f t="shared" si="18"/>
        <v>Theory Session</v>
      </c>
      <c r="H110" s="24" t="str">
        <f t="shared" si="12"/>
        <v>Online</v>
      </c>
      <c r="I110" s="24">
        <v>5</v>
      </c>
      <c r="J110" s="24">
        <f t="shared" si="13"/>
        <v>5</v>
      </c>
      <c r="K110" s="35">
        <f t="shared" si="15"/>
        <v>0.25</v>
      </c>
      <c r="L110" s="24">
        <f t="shared" si="16"/>
        <v>0.1</v>
      </c>
      <c r="M110" s="41"/>
    </row>
    <row r="111" spans="1:13" s="34" customFormat="1" ht="15.75" customHeight="1" x14ac:dyDescent="0.3">
      <c r="A111" s="24" t="str">
        <f t="shared" si="14"/>
        <v>L012S003</v>
      </c>
      <c r="B111" s="32" t="s">
        <v>58</v>
      </c>
      <c r="C111" s="33" t="s">
        <v>50</v>
      </c>
      <c r="D111" s="33" t="s">
        <v>37</v>
      </c>
      <c r="E111" s="24" t="str">
        <f t="shared" si="18"/>
        <v>Algebra Basics</v>
      </c>
      <c r="F111" s="24" t="str">
        <f t="shared" si="18"/>
        <v>IN_7</v>
      </c>
      <c r="G111" s="24" t="str">
        <f t="shared" si="18"/>
        <v>Workshop</v>
      </c>
      <c r="H111" s="24" t="str">
        <f t="shared" si="12"/>
        <v>Offline</v>
      </c>
      <c r="I111" s="24">
        <v>13</v>
      </c>
      <c r="J111" s="24">
        <f t="shared" si="13"/>
        <v>13</v>
      </c>
      <c r="K111" s="35">
        <f t="shared" si="15"/>
        <v>0.65</v>
      </c>
      <c r="L111" s="24">
        <f t="shared" si="16"/>
        <v>0.13</v>
      </c>
      <c r="M111" s="41"/>
    </row>
    <row r="112" spans="1:13" s="34" customFormat="1" ht="15.75" customHeight="1" x14ac:dyDescent="0.3">
      <c r="A112" s="24" t="str">
        <f t="shared" si="14"/>
        <v>L012S009</v>
      </c>
      <c r="B112" s="32" t="s">
        <v>58</v>
      </c>
      <c r="C112" s="33" t="s">
        <v>45</v>
      </c>
      <c r="D112" s="33" t="s">
        <v>26</v>
      </c>
      <c r="E112" s="24" t="str">
        <f t="shared" si="18"/>
        <v>Communication</v>
      </c>
      <c r="F112" s="24" t="str">
        <f t="shared" si="18"/>
        <v>IN_6</v>
      </c>
      <c r="G112" s="24" t="str">
        <f t="shared" si="18"/>
        <v>Workshop</v>
      </c>
      <c r="H112" s="24" t="str">
        <f t="shared" si="12"/>
        <v>Offline</v>
      </c>
      <c r="I112" s="24">
        <v>0</v>
      </c>
      <c r="J112" s="24">
        <f t="shared" si="13"/>
        <v>0</v>
      </c>
      <c r="K112" s="35">
        <f t="shared" si="15"/>
        <v>0</v>
      </c>
      <c r="L112" s="24">
        <f t="shared" si="16"/>
        <v>0</v>
      </c>
      <c r="M112" s="41"/>
    </row>
    <row r="113" spans="1:13" s="34" customFormat="1" ht="15.75" customHeight="1" x14ac:dyDescent="0.3">
      <c r="A113" s="24" t="str">
        <f t="shared" si="14"/>
        <v>L012S001</v>
      </c>
      <c r="B113" s="32" t="s">
        <v>58</v>
      </c>
      <c r="C113" s="33" t="s">
        <v>43</v>
      </c>
      <c r="D113" s="33" t="s">
        <v>26</v>
      </c>
      <c r="E113" s="24" t="str">
        <f t="shared" si="18"/>
        <v>CS Fundamentals</v>
      </c>
      <c r="F113" s="24" t="str">
        <f t="shared" si="18"/>
        <v>IN_2</v>
      </c>
      <c r="G113" s="24" t="str">
        <f t="shared" si="18"/>
        <v>Theory Session</v>
      </c>
      <c r="H113" s="24" t="str">
        <f t="shared" si="12"/>
        <v>Online</v>
      </c>
      <c r="I113" s="24">
        <v>5</v>
      </c>
      <c r="J113" s="24">
        <f t="shared" si="13"/>
        <v>5</v>
      </c>
      <c r="K113" s="35">
        <f t="shared" si="15"/>
        <v>0.25</v>
      </c>
      <c r="L113" s="24">
        <f t="shared" si="16"/>
        <v>0.1</v>
      </c>
      <c r="M113" s="41"/>
    </row>
    <row r="114" spans="1:13" s="34" customFormat="1" ht="15.75" customHeight="1" x14ac:dyDescent="0.3">
      <c r="A114" s="24" t="str">
        <f t="shared" si="14"/>
        <v>L012S004</v>
      </c>
      <c r="B114" s="32" t="s">
        <v>58</v>
      </c>
      <c r="C114" s="33" t="s">
        <v>47</v>
      </c>
      <c r="D114" s="33" t="s">
        <v>37</v>
      </c>
      <c r="E114" s="24" t="str">
        <f t="shared" si="18"/>
        <v>Foundations of ML</v>
      </c>
      <c r="F114" s="24" t="str">
        <f t="shared" si="18"/>
        <v>IN_4</v>
      </c>
      <c r="G114" s="24" t="str">
        <f t="shared" si="18"/>
        <v>Workshop</v>
      </c>
      <c r="H114" s="24" t="str">
        <f t="shared" si="12"/>
        <v>Online</v>
      </c>
      <c r="I114" s="24">
        <v>20</v>
      </c>
      <c r="J114" s="24">
        <f t="shared" si="13"/>
        <v>20</v>
      </c>
      <c r="K114" s="35">
        <f t="shared" si="15"/>
        <v>1</v>
      </c>
      <c r="L114" s="24">
        <f t="shared" si="16"/>
        <v>0.2</v>
      </c>
      <c r="M114" s="41"/>
    </row>
    <row r="115" spans="1:13" s="34" customFormat="1" ht="15.75" customHeight="1" x14ac:dyDescent="0.3">
      <c r="A115" s="24" t="str">
        <f t="shared" si="14"/>
        <v>L012S007</v>
      </c>
      <c r="B115" s="32" t="s">
        <v>58</v>
      </c>
      <c r="C115" s="33" t="s">
        <v>35</v>
      </c>
      <c r="D115" s="33" t="s">
        <v>37</v>
      </c>
      <c r="E115" s="24" t="str">
        <f t="shared" si="18"/>
        <v>Communication</v>
      </c>
      <c r="F115" s="24" t="str">
        <f t="shared" si="18"/>
        <v>IN_1</v>
      </c>
      <c r="G115" s="24" t="str">
        <f t="shared" si="18"/>
        <v>Practical</v>
      </c>
      <c r="H115" s="24" t="str">
        <f t="shared" si="12"/>
        <v>Offline</v>
      </c>
      <c r="I115" s="24">
        <v>0</v>
      </c>
      <c r="J115" s="24">
        <f t="shared" si="13"/>
        <v>0</v>
      </c>
      <c r="K115" s="35">
        <f t="shared" si="15"/>
        <v>0</v>
      </c>
      <c r="L115" s="24">
        <f t="shared" si="16"/>
        <v>0</v>
      </c>
      <c r="M115" s="41"/>
    </row>
    <row r="116" spans="1:13" s="34" customFormat="1" ht="15.75" customHeight="1" x14ac:dyDescent="0.3">
      <c r="A116" s="24" t="str">
        <f t="shared" si="14"/>
        <v>L013S019</v>
      </c>
      <c r="B116" s="32" t="s">
        <v>59</v>
      </c>
      <c r="C116" s="33" t="s">
        <v>38</v>
      </c>
      <c r="D116" s="33" t="s">
        <v>26</v>
      </c>
      <c r="E116" s="24" t="str">
        <f t="shared" si="18"/>
        <v>CS Fundamentals</v>
      </c>
      <c r="F116" s="24" t="str">
        <f t="shared" si="18"/>
        <v>IN_6</v>
      </c>
      <c r="G116" s="24" t="str">
        <f t="shared" si="18"/>
        <v>Workshop</v>
      </c>
      <c r="H116" s="24" t="str">
        <f t="shared" si="12"/>
        <v>Offline</v>
      </c>
      <c r="I116" s="24">
        <v>0</v>
      </c>
      <c r="J116" s="24">
        <f t="shared" si="13"/>
        <v>0</v>
      </c>
      <c r="K116" s="35">
        <f t="shared" si="15"/>
        <v>0</v>
      </c>
      <c r="L116" s="24">
        <f t="shared" si="16"/>
        <v>0</v>
      </c>
      <c r="M116" s="41"/>
    </row>
    <row r="117" spans="1:13" s="34" customFormat="1" ht="15.75" customHeight="1" x14ac:dyDescent="0.3">
      <c r="A117" s="24" t="str">
        <f t="shared" si="14"/>
        <v>L013S008</v>
      </c>
      <c r="B117" s="32" t="s">
        <v>59</v>
      </c>
      <c r="C117" s="33" t="s">
        <v>32</v>
      </c>
      <c r="D117" s="33" t="s">
        <v>29</v>
      </c>
      <c r="E117" s="24" t="str">
        <f t="shared" si="18"/>
        <v>CS Fundamentals</v>
      </c>
      <c r="F117" s="24" t="str">
        <f t="shared" si="18"/>
        <v>IN_2</v>
      </c>
      <c r="G117" s="24" t="str">
        <f t="shared" si="18"/>
        <v>Practical</v>
      </c>
      <c r="H117" s="24" t="str">
        <f t="shared" si="12"/>
        <v>Online</v>
      </c>
      <c r="I117" s="24">
        <v>6</v>
      </c>
      <c r="J117" s="24">
        <f t="shared" si="13"/>
        <v>1</v>
      </c>
      <c r="K117" s="35">
        <f t="shared" si="15"/>
        <v>0.05</v>
      </c>
      <c r="L117" s="24">
        <f t="shared" si="16"/>
        <v>2.0000000000000004E-2</v>
      </c>
      <c r="M117" s="41"/>
    </row>
    <row r="118" spans="1:13" s="34" customFormat="1" ht="15.75" customHeight="1" x14ac:dyDescent="0.3">
      <c r="A118" s="24" t="str">
        <f t="shared" si="14"/>
        <v>L013S017</v>
      </c>
      <c r="B118" s="32" t="s">
        <v>59</v>
      </c>
      <c r="C118" s="33" t="s">
        <v>28</v>
      </c>
      <c r="D118" s="33" t="s">
        <v>26</v>
      </c>
      <c r="E118" s="24" t="str">
        <f t="shared" si="18"/>
        <v>Communication</v>
      </c>
      <c r="F118" s="24" t="str">
        <f t="shared" si="18"/>
        <v>IN_7</v>
      </c>
      <c r="G118" s="24" t="str">
        <f t="shared" si="18"/>
        <v>Practical</v>
      </c>
      <c r="H118" s="24" t="str">
        <f t="shared" si="12"/>
        <v>Offline</v>
      </c>
      <c r="I118" s="24">
        <v>4</v>
      </c>
      <c r="J118" s="24">
        <f t="shared" si="13"/>
        <v>4</v>
      </c>
      <c r="K118" s="35">
        <f t="shared" si="15"/>
        <v>0.2</v>
      </c>
      <c r="L118" s="24">
        <f t="shared" si="16"/>
        <v>8.0000000000000016E-2</v>
      </c>
      <c r="M118" s="41"/>
    </row>
    <row r="119" spans="1:13" s="34" customFormat="1" ht="15.75" customHeight="1" x14ac:dyDescent="0.3">
      <c r="A119" s="24" t="str">
        <f t="shared" si="14"/>
        <v>L013S007</v>
      </c>
      <c r="B119" s="32" t="s">
        <v>59</v>
      </c>
      <c r="C119" s="33" t="s">
        <v>35</v>
      </c>
      <c r="D119" s="33" t="s">
        <v>26</v>
      </c>
      <c r="E119" s="24" t="str">
        <f t="shared" si="18"/>
        <v>Communication</v>
      </c>
      <c r="F119" s="24" t="str">
        <f t="shared" si="18"/>
        <v>IN_1</v>
      </c>
      <c r="G119" s="24" t="str">
        <f t="shared" si="18"/>
        <v>Practical</v>
      </c>
      <c r="H119" s="24" t="str">
        <f t="shared" si="12"/>
        <v>Offline</v>
      </c>
      <c r="I119" s="24">
        <v>15</v>
      </c>
      <c r="J119" s="24">
        <f t="shared" si="13"/>
        <v>15</v>
      </c>
      <c r="K119" s="35">
        <f t="shared" si="15"/>
        <v>0.75</v>
      </c>
      <c r="L119" s="24">
        <f t="shared" si="16"/>
        <v>0.30000000000000004</v>
      </c>
      <c r="M119" s="41"/>
    </row>
    <row r="120" spans="1:13" s="34" customFormat="1" ht="15.75" customHeight="1" x14ac:dyDescent="0.3">
      <c r="A120" s="24" t="str">
        <f t="shared" si="14"/>
        <v>L013S010</v>
      </c>
      <c r="B120" s="32" t="s">
        <v>59</v>
      </c>
      <c r="C120" s="33" t="s">
        <v>34</v>
      </c>
      <c r="D120" s="33" t="s">
        <v>26</v>
      </c>
      <c r="E120" s="24" t="str">
        <f t="shared" si="18"/>
        <v>Foundations of ML</v>
      </c>
      <c r="F120" s="24" t="str">
        <f t="shared" si="18"/>
        <v>IN_6</v>
      </c>
      <c r="G120" s="24" t="str">
        <f t="shared" si="18"/>
        <v>Theory Session</v>
      </c>
      <c r="H120" s="24" t="str">
        <f t="shared" si="12"/>
        <v>Offline</v>
      </c>
      <c r="I120" s="24">
        <v>7</v>
      </c>
      <c r="J120" s="24">
        <f t="shared" si="13"/>
        <v>7</v>
      </c>
      <c r="K120" s="35">
        <f t="shared" si="15"/>
        <v>0.35</v>
      </c>
      <c r="L120" s="24">
        <f t="shared" si="16"/>
        <v>0.13999999999999999</v>
      </c>
      <c r="M120" s="41"/>
    </row>
    <row r="121" spans="1:13" s="34" customFormat="1" ht="15.75" customHeight="1" x14ac:dyDescent="0.3">
      <c r="A121" s="24" t="str">
        <f t="shared" si="14"/>
        <v>L014S003</v>
      </c>
      <c r="B121" s="32" t="s">
        <v>60</v>
      </c>
      <c r="C121" s="33" t="s">
        <v>50</v>
      </c>
      <c r="D121" s="33" t="s">
        <v>26</v>
      </c>
      <c r="E121" s="24" t="str">
        <f t="shared" si="18"/>
        <v>Algebra Basics</v>
      </c>
      <c r="F121" s="24" t="str">
        <f t="shared" si="18"/>
        <v>IN_7</v>
      </c>
      <c r="G121" s="24" t="str">
        <f t="shared" si="18"/>
        <v>Workshop</v>
      </c>
      <c r="H121" s="24" t="str">
        <f t="shared" si="12"/>
        <v>Offline</v>
      </c>
      <c r="I121" s="24">
        <v>0</v>
      </c>
      <c r="J121" s="24">
        <f t="shared" si="13"/>
        <v>0</v>
      </c>
      <c r="K121" s="35">
        <f t="shared" si="15"/>
        <v>0</v>
      </c>
      <c r="L121" s="24">
        <f t="shared" si="16"/>
        <v>0</v>
      </c>
      <c r="M121" s="41"/>
    </row>
    <row r="122" spans="1:13" s="34" customFormat="1" ht="15.75" customHeight="1" x14ac:dyDescent="0.3">
      <c r="A122" s="24" t="str">
        <f t="shared" si="14"/>
        <v>L014S020</v>
      </c>
      <c r="B122" s="32" t="s">
        <v>60</v>
      </c>
      <c r="C122" s="33" t="s">
        <v>30</v>
      </c>
      <c r="D122" s="33" t="s">
        <v>26</v>
      </c>
      <c r="E122" s="24" t="str">
        <f t="shared" si="18"/>
        <v>Foundations of ML</v>
      </c>
      <c r="F122" s="24" t="str">
        <f t="shared" si="18"/>
        <v>IN_4</v>
      </c>
      <c r="G122" s="24" t="str">
        <f t="shared" si="18"/>
        <v>Workshop</v>
      </c>
      <c r="H122" s="24" t="str">
        <f t="shared" si="12"/>
        <v>Online</v>
      </c>
      <c r="I122" s="24">
        <v>0</v>
      </c>
      <c r="J122" s="24">
        <f t="shared" si="13"/>
        <v>0</v>
      </c>
      <c r="K122" s="35">
        <f t="shared" si="15"/>
        <v>0</v>
      </c>
      <c r="L122" s="24">
        <f t="shared" si="16"/>
        <v>0</v>
      </c>
      <c r="M122" s="41"/>
    </row>
    <row r="123" spans="1:13" s="34" customFormat="1" ht="15.75" customHeight="1" x14ac:dyDescent="0.3">
      <c r="A123" s="24" t="str">
        <f t="shared" si="14"/>
        <v>L014S009</v>
      </c>
      <c r="B123" s="32" t="s">
        <v>60</v>
      </c>
      <c r="C123" s="33" t="s">
        <v>45</v>
      </c>
      <c r="D123" s="33" t="s">
        <v>26</v>
      </c>
      <c r="E123" s="24" t="str">
        <f t="shared" ref="E123:G142" si="19">VLOOKUP($C123,session_details,E$1,FALSE)</f>
        <v>Communication</v>
      </c>
      <c r="F123" s="24" t="str">
        <f t="shared" si="19"/>
        <v>IN_6</v>
      </c>
      <c r="G123" s="24" t="str">
        <f t="shared" si="19"/>
        <v>Workshop</v>
      </c>
      <c r="H123" s="24" t="str">
        <f t="shared" si="12"/>
        <v>Offline</v>
      </c>
      <c r="I123" s="24">
        <v>0</v>
      </c>
      <c r="J123" s="24">
        <f t="shared" si="13"/>
        <v>0</v>
      </c>
      <c r="K123" s="35">
        <f t="shared" si="15"/>
        <v>0</v>
      </c>
      <c r="L123" s="24">
        <f t="shared" si="16"/>
        <v>0</v>
      </c>
      <c r="M123" s="41"/>
    </row>
    <row r="124" spans="1:13" s="34" customFormat="1" ht="15.75" customHeight="1" x14ac:dyDescent="0.3">
      <c r="A124" s="24" t="str">
        <f t="shared" si="14"/>
        <v>L014S017</v>
      </c>
      <c r="B124" s="32" t="s">
        <v>60</v>
      </c>
      <c r="C124" s="33" t="s">
        <v>28</v>
      </c>
      <c r="D124" s="33" t="s">
        <v>29</v>
      </c>
      <c r="E124" s="24" t="str">
        <f t="shared" si="19"/>
        <v>Communication</v>
      </c>
      <c r="F124" s="24" t="str">
        <f t="shared" si="19"/>
        <v>IN_7</v>
      </c>
      <c r="G124" s="24" t="str">
        <f t="shared" si="19"/>
        <v>Practical</v>
      </c>
      <c r="H124" s="24" t="str">
        <f t="shared" si="12"/>
        <v>Offline</v>
      </c>
      <c r="I124" s="24">
        <v>14</v>
      </c>
      <c r="J124" s="24">
        <f t="shared" si="13"/>
        <v>9</v>
      </c>
      <c r="K124" s="35">
        <f t="shared" si="15"/>
        <v>0.45</v>
      </c>
      <c r="L124" s="24">
        <f t="shared" si="16"/>
        <v>0.18000000000000002</v>
      </c>
      <c r="M124" s="41"/>
    </row>
    <row r="125" spans="1:13" s="34" customFormat="1" ht="15.75" customHeight="1" x14ac:dyDescent="0.3">
      <c r="A125" s="24" t="str">
        <f t="shared" si="14"/>
        <v>L014S014</v>
      </c>
      <c r="B125" s="32" t="s">
        <v>60</v>
      </c>
      <c r="C125" s="33" t="s">
        <v>46</v>
      </c>
      <c r="D125" s="33" t="s">
        <v>26</v>
      </c>
      <c r="E125" s="24" t="str">
        <f t="shared" si="19"/>
        <v>Foundations of ML</v>
      </c>
      <c r="F125" s="24" t="str">
        <f t="shared" si="19"/>
        <v>IN_2</v>
      </c>
      <c r="G125" s="24" t="str">
        <f t="shared" si="19"/>
        <v>Theory Session</v>
      </c>
      <c r="H125" s="24" t="str">
        <f t="shared" si="12"/>
        <v>Online</v>
      </c>
      <c r="I125" s="24">
        <v>18</v>
      </c>
      <c r="J125" s="24">
        <f t="shared" si="13"/>
        <v>18</v>
      </c>
      <c r="K125" s="35">
        <f t="shared" si="15"/>
        <v>0.9</v>
      </c>
      <c r="L125" s="24">
        <f t="shared" si="16"/>
        <v>0.36000000000000004</v>
      </c>
      <c r="M125" s="41"/>
    </row>
    <row r="126" spans="1:13" s="34" customFormat="1" ht="15.75" customHeight="1" x14ac:dyDescent="0.3">
      <c r="A126" s="24" t="str">
        <f t="shared" si="14"/>
        <v>L015S004</v>
      </c>
      <c r="B126" s="32" t="s">
        <v>61</v>
      </c>
      <c r="C126" s="33" t="s">
        <v>47</v>
      </c>
      <c r="D126" s="33" t="s">
        <v>26</v>
      </c>
      <c r="E126" s="24" t="str">
        <f t="shared" si="19"/>
        <v>Foundations of ML</v>
      </c>
      <c r="F126" s="24" t="str">
        <f t="shared" si="19"/>
        <v>IN_4</v>
      </c>
      <c r="G126" s="24" t="str">
        <f t="shared" si="19"/>
        <v>Workshop</v>
      </c>
      <c r="H126" s="24" t="str">
        <f t="shared" si="12"/>
        <v>Online</v>
      </c>
      <c r="I126" s="24">
        <v>0</v>
      </c>
      <c r="J126" s="24">
        <f t="shared" si="13"/>
        <v>0</v>
      </c>
      <c r="K126" s="35">
        <f t="shared" si="15"/>
        <v>0</v>
      </c>
      <c r="L126" s="24">
        <f t="shared" si="16"/>
        <v>0</v>
      </c>
      <c r="M126" s="41"/>
    </row>
    <row r="127" spans="1:13" s="34" customFormat="1" ht="15.75" customHeight="1" x14ac:dyDescent="0.3">
      <c r="A127" s="24" t="str">
        <f t="shared" si="14"/>
        <v>L015S019</v>
      </c>
      <c r="B127" s="32" t="s">
        <v>61</v>
      </c>
      <c r="C127" s="33" t="s">
        <v>38</v>
      </c>
      <c r="D127" s="33" t="s">
        <v>26</v>
      </c>
      <c r="E127" s="24" t="str">
        <f t="shared" si="19"/>
        <v>CS Fundamentals</v>
      </c>
      <c r="F127" s="24" t="str">
        <f t="shared" si="19"/>
        <v>IN_6</v>
      </c>
      <c r="G127" s="24" t="str">
        <f t="shared" si="19"/>
        <v>Workshop</v>
      </c>
      <c r="H127" s="24" t="str">
        <f t="shared" si="12"/>
        <v>Offline</v>
      </c>
      <c r="I127" s="24">
        <v>0</v>
      </c>
      <c r="J127" s="24">
        <f t="shared" si="13"/>
        <v>0</v>
      </c>
      <c r="K127" s="35">
        <f t="shared" si="15"/>
        <v>0</v>
      </c>
      <c r="L127" s="24">
        <f t="shared" si="16"/>
        <v>0</v>
      </c>
      <c r="M127" s="41"/>
    </row>
    <row r="128" spans="1:13" s="34" customFormat="1" ht="15.75" customHeight="1" x14ac:dyDescent="0.3">
      <c r="A128" s="24" t="str">
        <f t="shared" si="14"/>
        <v>L015S006</v>
      </c>
      <c r="B128" s="32" t="s">
        <v>61</v>
      </c>
      <c r="C128" s="33" t="s">
        <v>40</v>
      </c>
      <c r="D128" s="33" t="s">
        <v>26</v>
      </c>
      <c r="E128" s="24" t="str">
        <f t="shared" si="19"/>
        <v>Communication</v>
      </c>
      <c r="F128" s="24" t="str">
        <f t="shared" si="19"/>
        <v>IN_6</v>
      </c>
      <c r="G128" s="24" t="str">
        <f t="shared" si="19"/>
        <v>Theory Session</v>
      </c>
      <c r="H128" s="24" t="str">
        <f t="shared" si="12"/>
        <v>Online</v>
      </c>
      <c r="I128" s="24">
        <v>17</v>
      </c>
      <c r="J128" s="24">
        <f t="shared" si="13"/>
        <v>17</v>
      </c>
      <c r="K128" s="35">
        <f t="shared" si="15"/>
        <v>0.85</v>
      </c>
      <c r="L128" s="24">
        <f t="shared" si="16"/>
        <v>0.34</v>
      </c>
      <c r="M128" s="41"/>
    </row>
    <row r="129" spans="1:13" s="34" customFormat="1" ht="15.75" customHeight="1" x14ac:dyDescent="0.3">
      <c r="A129" s="24" t="str">
        <f t="shared" si="14"/>
        <v>L015S009</v>
      </c>
      <c r="B129" s="32" t="s">
        <v>61</v>
      </c>
      <c r="C129" s="33" t="s">
        <v>45</v>
      </c>
      <c r="D129" s="33" t="s">
        <v>26</v>
      </c>
      <c r="E129" s="24" t="str">
        <f t="shared" si="19"/>
        <v>Communication</v>
      </c>
      <c r="F129" s="24" t="str">
        <f t="shared" si="19"/>
        <v>IN_6</v>
      </c>
      <c r="G129" s="24" t="str">
        <f t="shared" si="19"/>
        <v>Workshop</v>
      </c>
      <c r="H129" s="24" t="str">
        <f t="shared" si="12"/>
        <v>Offline</v>
      </c>
      <c r="I129" s="24">
        <v>15</v>
      </c>
      <c r="J129" s="24">
        <f t="shared" si="13"/>
        <v>15</v>
      </c>
      <c r="K129" s="35">
        <f t="shared" si="15"/>
        <v>0.75</v>
      </c>
      <c r="L129" s="24">
        <f t="shared" si="16"/>
        <v>0.15000000000000002</v>
      </c>
      <c r="M129" s="41"/>
    </row>
    <row r="130" spans="1:13" s="34" customFormat="1" ht="15.75" customHeight="1" x14ac:dyDescent="0.3">
      <c r="A130" s="24" t="str">
        <f t="shared" si="14"/>
        <v>L015S007</v>
      </c>
      <c r="B130" s="32" t="s">
        <v>61</v>
      </c>
      <c r="C130" s="33" t="s">
        <v>35</v>
      </c>
      <c r="D130" s="33" t="s">
        <v>29</v>
      </c>
      <c r="E130" s="24" t="str">
        <f t="shared" si="19"/>
        <v>Communication</v>
      </c>
      <c r="F130" s="24" t="str">
        <f t="shared" si="19"/>
        <v>IN_1</v>
      </c>
      <c r="G130" s="24" t="str">
        <f t="shared" si="19"/>
        <v>Practical</v>
      </c>
      <c r="H130" s="24" t="str">
        <f t="shared" si="12"/>
        <v>Offline</v>
      </c>
      <c r="I130" s="24">
        <v>0</v>
      </c>
      <c r="J130" s="24">
        <f t="shared" si="13"/>
        <v>0</v>
      </c>
      <c r="K130" s="35">
        <f t="shared" si="15"/>
        <v>0</v>
      </c>
      <c r="L130" s="24">
        <f t="shared" si="16"/>
        <v>0</v>
      </c>
      <c r="M130" s="41"/>
    </row>
    <row r="131" spans="1:13" s="34" customFormat="1" ht="15.75" customHeight="1" x14ac:dyDescent="0.3">
      <c r="A131" s="24" t="str">
        <f t="shared" si="14"/>
        <v>L015S016</v>
      </c>
      <c r="B131" s="32" t="s">
        <v>61</v>
      </c>
      <c r="C131" s="33" t="s">
        <v>27</v>
      </c>
      <c r="D131" s="33" t="s">
        <v>26</v>
      </c>
      <c r="E131" s="24" t="str">
        <f t="shared" si="19"/>
        <v>Algebra Basics</v>
      </c>
      <c r="F131" s="24" t="str">
        <f t="shared" si="19"/>
        <v>IN_2</v>
      </c>
      <c r="G131" s="24" t="str">
        <f t="shared" si="19"/>
        <v>Workshop</v>
      </c>
      <c r="H131" s="24" t="str">
        <f t="shared" ref="H131:H194" si="20">VLOOKUP($C131,Session_mode,H$1,FALSE)</f>
        <v>Offline</v>
      </c>
      <c r="I131" s="24">
        <v>0</v>
      </c>
      <c r="J131" s="24">
        <f t="shared" ref="J131:J194" si="21">IF(D131="Present", I131, IF(AND(D131="Absent", I131&lt;&gt;0), I131-5, I131))</f>
        <v>0</v>
      </c>
      <c r="K131" s="35">
        <f t="shared" si="15"/>
        <v>0</v>
      </c>
      <c r="L131" s="24">
        <f t="shared" si="16"/>
        <v>0</v>
      </c>
      <c r="M131" s="41"/>
    </row>
    <row r="132" spans="1:13" s="34" customFormat="1" ht="15.75" customHeight="1" x14ac:dyDescent="0.3">
      <c r="A132" s="24" t="str">
        <f t="shared" ref="A132:A195" si="22">B132&amp;C132</f>
        <v>L015S017</v>
      </c>
      <c r="B132" s="32" t="s">
        <v>61</v>
      </c>
      <c r="C132" s="33" t="s">
        <v>28</v>
      </c>
      <c r="D132" s="33" t="s">
        <v>26</v>
      </c>
      <c r="E132" s="24" t="str">
        <f t="shared" si="19"/>
        <v>Communication</v>
      </c>
      <c r="F132" s="24" t="str">
        <f t="shared" si="19"/>
        <v>IN_7</v>
      </c>
      <c r="G132" s="24" t="str">
        <f t="shared" si="19"/>
        <v>Practical</v>
      </c>
      <c r="H132" s="24" t="str">
        <f t="shared" si="20"/>
        <v>Offline</v>
      </c>
      <c r="I132" s="24">
        <v>0</v>
      </c>
      <c r="J132" s="24">
        <f t="shared" si="21"/>
        <v>0</v>
      </c>
      <c r="K132" s="35">
        <f t="shared" ref="K132:K195" si="23">J132/20</f>
        <v>0</v>
      </c>
      <c r="L132" s="24">
        <f t="shared" ref="L132:L195" si="24">IF(G132="Theory Session", K132*0.4,
 IF(G132="Practical",       K132*0.4,
 IF(G132="Workshop",        K132*0.2,
 0)))</f>
        <v>0</v>
      </c>
      <c r="M132" s="41"/>
    </row>
    <row r="133" spans="1:13" s="34" customFormat="1" ht="15.75" customHeight="1" x14ac:dyDescent="0.3">
      <c r="A133" s="24" t="str">
        <f t="shared" si="22"/>
        <v>L015S013</v>
      </c>
      <c r="B133" s="32" t="s">
        <v>61</v>
      </c>
      <c r="C133" s="33" t="s">
        <v>44</v>
      </c>
      <c r="D133" s="33" t="s">
        <v>26</v>
      </c>
      <c r="E133" s="24" t="str">
        <f t="shared" si="19"/>
        <v>Algebra Basics</v>
      </c>
      <c r="F133" s="24" t="str">
        <f t="shared" si="19"/>
        <v>IN_3</v>
      </c>
      <c r="G133" s="24" t="str">
        <f t="shared" si="19"/>
        <v>Workshop</v>
      </c>
      <c r="H133" s="24" t="str">
        <f t="shared" si="20"/>
        <v>Offline</v>
      </c>
      <c r="I133" s="24">
        <v>10</v>
      </c>
      <c r="J133" s="24">
        <f t="shared" si="21"/>
        <v>10</v>
      </c>
      <c r="K133" s="35">
        <f t="shared" si="23"/>
        <v>0.5</v>
      </c>
      <c r="L133" s="24">
        <f t="shared" si="24"/>
        <v>0.1</v>
      </c>
      <c r="M133" s="41"/>
    </row>
    <row r="134" spans="1:13" s="34" customFormat="1" ht="15.75" customHeight="1" x14ac:dyDescent="0.3">
      <c r="A134" s="24" t="str">
        <f t="shared" si="22"/>
        <v>L015S012</v>
      </c>
      <c r="B134" s="32" t="s">
        <v>61</v>
      </c>
      <c r="C134" s="33" t="s">
        <v>33</v>
      </c>
      <c r="D134" s="33" t="s">
        <v>37</v>
      </c>
      <c r="E134" s="24" t="str">
        <f t="shared" si="19"/>
        <v>Foundations of ML</v>
      </c>
      <c r="F134" s="24" t="str">
        <f t="shared" si="19"/>
        <v>IN_1</v>
      </c>
      <c r="G134" s="24" t="str">
        <f t="shared" si="19"/>
        <v>Workshop</v>
      </c>
      <c r="H134" s="24" t="str">
        <f t="shared" si="20"/>
        <v>Offline</v>
      </c>
      <c r="I134" s="24">
        <v>17</v>
      </c>
      <c r="J134" s="24">
        <f t="shared" si="21"/>
        <v>17</v>
      </c>
      <c r="K134" s="35">
        <f t="shared" si="23"/>
        <v>0.85</v>
      </c>
      <c r="L134" s="24">
        <f t="shared" si="24"/>
        <v>0.17</v>
      </c>
      <c r="M134" s="41"/>
    </row>
    <row r="135" spans="1:13" s="34" customFormat="1" ht="15.75" customHeight="1" x14ac:dyDescent="0.3">
      <c r="A135" s="24" t="str">
        <f t="shared" si="22"/>
        <v>L016S006</v>
      </c>
      <c r="B135" s="32" t="s">
        <v>62</v>
      </c>
      <c r="C135" s="33" t="s">
        <v>40</v>
      </c>
      <c r="D135" s="33" t="s">
        <v>26</v>
      </c>
      <c r="E135" s="24" t="str">
        <f t="shared" si="19"/>
        <v>Communication</v>
      </c>
      <c r="F135" s="24" t="str">
        <f t="shared" si="19"/>
        <v>IN_6</v>
      </c>
      <c r="G135" s="24" t="str">
        <f t="shared" si="19"/>
        <v>Theory Session</v>
      </c>
      <c r="H135" s="24" t="str">
        <f t="shared" si="20"/>
        <v>Online</v>
      </c>
      <c r="I135" s="24">
        <v>0</v>
      </c>
      <c r="J135" s="24">
        <f t="shared" si="21"/>
        <v>0</v>
      </c>
      <c r="K135" s="35">
        <f t="shared" si="23"/>
        <v>0</v>
      </c>
      <c r="L135" s="24">
        <f t="shared" si="24"/>
        <v>0</v>
      </c>
      <c r="M135" s="41"/>
    </row>
    <row r="136" spans="1:13" s="34" customFormat="1" ht="15.75" customHeight="1" x14ac:dyDescent="0.3">
      <c r="A136" s="24" t="str">
        <f t="shared" si="22"/>
        <v>L016S017</v>
      </c>
      <c r="B136" s="32" t="s">
        <v>62</v>
      </c>
      <c r="C136" s="33" t="s">
        <v>28</v>
      </c>
      <c r="D136" s="33" t="s">
        <v>26</v>
      </c>
      <c r="E136" s="24" t="str">
        <f t="shared" si="19"/>
        <v>Communication</v>
      </c>
      <c r="F136" s="24" t="str">
        <f t="shared" si="19"/>
        <v>IN_7</v>
      </c>
      <c r="G136" s="24" t="str">
        <f t="shared" si="19"/>
        <v>Practical</v>
      </c>
      <c r="H136" s="24" t="str">
        <f t="shared" si="20"/>
        <v>Offline</v>
      </c>
      <c r="I136" s="24">
        <v>0</v>
      </c>
      <c r="J136" s="24">
        <f t="shared" si="21"/>
        <v>0</v>
      </c>
      <c r="K136" s="35">
        <f t="shared" si="23"/>
        <v>0</v>
      </c>
      <c r="L136" s="24">
        <f t="shared" si="24"/>
        <v>0</v>
      </c>
      <c r="M136" s="41"/>
    </row>
    <row r="137" spans="1:13" s="34" customFormat="1" ht="15.75" customHeight="1" x14ac:dyDescent="0.3">
      <c r="A137" s="24" t="str">
        <f t="shared" si="22"/>
        <v>L016S018</v>
      </c>
      <c r="B137" s="32" t="s">
        <v>62</v>
      </c>
      <c r="C137" s="33" t="s">
        <v>25</v>
      </c>
      <c r="D137" s="33" t="s">
        <v>29</v>
      </c>
      <c r="E137" s="24" t="str">
        <f t="shared" si="19"/>
        <v>CS Fundamentals</v>
      </c>
      <c r="F137" s="24" t="str">
        <f t="shared" si="19"/>
        <v>IN_5</v>
      </c>
      <c r="G137" s="24" t="str">
        <f t="shared" si="19"/>
        <v>Practical</v>
      </c>
      <c r="H137" s="24" t="str">
        <f t="shared" si="20"/>
        <v>Online</v>
      </c>
      <c r="I137" s="24">
        <v>12</v>
      </c>
      <c r="J137" s="24">
        <f t="shared" si="21"/>
        <v>7</v>
      </c>
      <c r="K137" s="35">
        <f t="shared" si="23"/>
        <v>0.35</v>
      </c>
      <c r="L137" s="24">
        <f t="shared" si="24"/>
        <v>0.13999999999999999</v>
      </c>
      <c r="M137" s="41"/>
    </row>
    <row r="138" spans="1:13" s="34" customFormat="1" ht="15.75" customHeight="1" x14ac:dyDescent="0.3">
      <c r="A138" s="24" t="str">
        <f t="shared" si="22"/>
        <v>L016S019</v>
      </c>
      <c r="B138" s="32" t="s">
        <v>62</v>
      </c>
      <c r="C138" s="33" t="s">
        <v>38</v>
      </c>
      <c r="D138" s="33" t="s">
        <v>29</v>
      </c>
      <c r="E138" s="24" t="str">
        <f t="shared" si="19"/>
        <v>CS Fundamentals</v>
      </c>
      <c r="F138" s="24" t="str">
        <f t="shared" si="19"/>
        <v>IN_6</v>
      </c>
      <c r="G138" s="24" t="str">
        <f t="shared" si="19"/>
        <v>Workshop</v>
      </c>
      <c r="H138" s="24" t="str">
        <f t="shared" si="20"/>
        <v>Offline</v>
      </c>
      <c r="I138" s="24">
        <v>0</v>
      </c>
      <c r="J138" s="24">
        <f t="shared" si="21"/>
        <v>0</v>
      </c>
      <c r="K138" s="35">
        <f t="shared" si="23"/>
        <v>0</v>
      </c>
      <c r="L138" s="24">
        <f t="shared" si="24"/>
        <v>0</v>
      </c>
      <c r="M138" s="41"/>
    </row>
    <row r="139" spans="1:13" s="34" customFormat="1" ht="15.75" customHeight="1" x14ac:dyDescent="0.3">
      <c r="A139" s="24" t="str">
        <f t="shared" si="22"/>
        <v>L016S015</v>
      </c>
      <c r="B139" s="32" t="s">
        <v>62</v>
      </c>
      <c r="C139" s="33" t="s">
        <v>41</v>
      </c>
      <c r="D139" s="33" t="s">
        <v>29</v>
      </c>
      <c r="E139" s="24" t="str">
        <f t="shared" si="19"/>
        <v>Foundations of ML</v>
      </c>
      <c r="F139" s="24" t="str">
        <f t="shared" si="19"/>
        <v>IN_4</v>
      </c>
      <c r="G139" s="24" t="str">
        <f t="shared" si="19"/>
        <v>Practical</v>
      </c>
      <c r="H139" s="24" t="str">
        <f t="shared" si="20"/>
        <v>Offline</v>
      </c>
      <c r="I139" s="24">
        <v>6</v>
      </c>
      <c r="J139" s="24">
        <f t="shared" si="21"/>
        <v>1</v>
      </c>
      <c r="K139" s="35">
        <f t="shared" si="23"/>
        <v>0.05</v>
      </c>
      <c r="L139" s="24">
        <f t="shared" si="24"/>
        <v>2.0000000000000004E-2</v>
      </c>
      <c r="M139" s="41"/>
    </row>
    <row r="140" spans="1:13" s="34" customFormat="1" ht="15.75" customHeight="1" x14ac:dyDescent="0.3">
      <c r="A140" s="24" t="str">
        <f t="shared" si="22"/>
        <v>L016S012</v>
      </c>
      <c r="B140" s="32" t="s">
        <v>62</v>
      </c>
      <c r="C140" s="33" t="s">
        <v>33</v>
      </c>
      <c r="D140" s="33" t="s">
        <v>26</v>
      </c>
      <c r="E140" s="24" t="str">
        <f t="shared" si="19"/>
        <v>Foundations of ML</v>
      </c>
      <c r="F140" s="24" t="str">
        <f t="shared" si="19"/>
        <v>IN_1</v>
      </c>
      <c r="G140" s="24" t="str">
        <f t="shared" si="19"/>
        <v>Workshop</v>
      </c>
      <c r="H140" s="24" t="str">
        <f t="shared" si="20"/>
        <v>Offline</v>
      </c>
      <c r="I140" s="24">
        <v>15</v>
      </c>
      <c r="J140" s="24">
        <f t="shared" si="21"/>
        <v>15</v>
      </c>
      <c r="K140" s="35">
        <f t="shared" si="23"/>
        <v>0.75</v>
      </c>
      <c r="L140" s="24">
        <f t="shared" si="24"/>
        <v>0.15000000000000002</v>
      </c>
      <c r="M140" s="41"/>
    </row>
    <row r="141" spans="1:13" s="34" customFormat="1" ht="15.75" customHeight="1" x14ac:dyDescent="0.3">
      <c r="A141" s="24" t="str">
        <f t="shared" si="22"/>
        <v>L016S011</v>
      </c>
      <c r="B141" s="32" t="s">
        <v>62</v>
      </c>
      <c r="C141" s="33" t="s">
        <v>39</v>
      </c>
      <c r="D141" s="33" t="s">
        <v>26</v>
      </c>
      <c r="E141" s="24" t="str">
        <f t="shared" si="19"/>
        <v>Algebra Basics</v>
      </c>
      <c r="F141" s="24" t="str">
        <f t="shared" si="19"/>
        <v>IN_4</v>
      </c>
      <c r="G141" s="24" t="str">
        <f t="shared" si="19"/>
        <v>Theory Session</v>
      </c>
      <c r="H141" s="24" t="str">
        <f t="shared" si="20"/>
        <v>Online</v>
      </c>
      <c r="I141" s="24">
        <v>0</v>
      </c>
      <c r="J141" s="24">
        <f t="shared" si="21"/>
        <v>0</v>
      </c>
      <c r="K141" s="35">
        <f t="shared" si="23"/>
        <v>0</v>
      </c>
      <c r="L141" s="24">
        <f t="shared" si="24"/>
        <v>0</v>
      </c>
      <c r="M141" s="41"/>
    </row>
    <row r="142" spans="1:13" s="34" customFormat="1" ht="15.75" customHeight="1" x14ac:dyDescent="0.3">
      <c r="A142" s="24" t="str">
        <f t="shared" si="22"/>
        <v>L017S012</v>
      </c>
      <c r="B142" s="32" t="s">
        <v>63</v>
      </c>
      <c r="C142" s="33" t="s">
        <v>33</v>
      </c>
      <c r="D142" s="33" t="s">
        <v>37</v>
      </c>
      <c r="E142" s="24" t="str">
        <f t="shared" si="19"/>
        <v>Foundations of ML</v>
      </c>
      <c r="F142" s="24" t="str">
        <f t="shared" si="19"/>
        <v>IN_1</v>
      </c>
      <c r="G142" s="24" t="str">
        <f t="shared" si="19"/>
        <v>Workshop</v>
      </c>
      <c r="H142" s="24" t="str">
        <f t="shared" si="20"/>
        <v>Offline</v>
      </c>
      <c r="I142" s="24">
        <v>0</v>
      </c>
      <c r="J142" s="24">
        <f t="shared" si="21"/>
        <v>0</v>
      </c>
      <c r="K142" s="35">
        <f t="shared" si="23"/>
        <v>0</v>
      </c>
      <c r="L142" s="24">
        <f t="shared" si="24"/>
        <v>0</v>
      </c>
      <c r="M142" s="41"/>
    </row>
    <row r="143" spans="1:13" s="34" customFormat="1" ht="15.75" customHeight="1" x14ac:dyDescent="0.3">
      <c r="A143" s="24" t="str">
        <f t="shared" si="22"/>
        <v>L017S009</v>
      </c>
      <c r="B143" s="32" t="s">
        <v>63</v>
      </c>
      <c r="C143" s="33" t="s">
        <v>45</v>
      </c>
      <c r="D143" s="33" t="s">
        <v>26</v>
      </c>
      <c r="E143" s="24" t="str">
        <f t="shared" ref="E143:G162" si="25">VLOOKUP($C143,session_details,E$1,FALSE)</f>
        <v>Communication</v>
      </c>
      <c r="F143" s="24" t="str">
        <f t="shared" si="25"/>
        <v>IN_6</v>
      </c>
      <c r="G143" s="24" t="str">
        <f t="shared" si="25"/>
        <v>Workshop</v>
      </c>
      <c r="H143" s="24" t="str">
        <f t="shared" si="20"/>
        <v>Offline</v>
      </c>
      <c r="I143" s="24">
        <v>7</v>
      </c>
      <c r="J143" s="24">
        <f t="shared" si="21"/>
        <v>7</v>
      </c>
      <c r="K143" s="35">
        <f t="shared" si="23"/>
        <v>0.35</v>
      </c>
      <c r="L143" s="24">
        <f t="shared" si="24"/>
        <v>6.9999999999999993E-2</v>
      </c>
      <c r="M143" s="41"/>
    </row>
    <row r="144" spans="1:13" s="34" customFormat="1" ht="15.75" customHeight="1" x14ac:dyDescent="0.3">
      <c r="A144" s="24" t="str">
        <f t="shared" si="22"/>
        <v>L017S013</v>
      </c>
      <c r="B144" s="32" t="s">
        <v>63</v>
      </c>
      <c r="C144" s="33" t="s">
        <v>44</v>
      </c>
      <c r="D144" s="33" t="s">
        <v>26</v>
      </c>
      <c r="E144" s="24" t="str">
        <f t="shared" si="25"/>
        <v>Algebra Basics</v>
      </c>
      <c r="F144" s="24" t="str">
        <f t="shared" si="25"/>
        <v>IN_3</v>
      </c>
      <c r="G144" s="24" t="str">
        <f t="shared" si="25"/>
        <v>Workshop</v>
      </c>
      <c r="H144" s="24" t="str">
        <f t="shared" si="20"/>
        <v>Offline</v>
      </c>
      <c r="I144" s="24">
        <v>0</v>
      </c>
      <c r="J144" s="24">
        <f t="shared" si="21"/>
        <v>0</v>
      </c>
      <c r="K144" s="35">
        <f t="shared" si="23"/>
        <v>0</v>
      </c>
      <c r="L144" s="24">
        <f t="shared" si="24"/>
        <v>0</v>
      </c>
      <c r="M144" s="41"/>
    </row>
    <row r="145" spans="1:13" s="34" customFormat="1" ht="15.75" customHeight="1" x14ac:dyDescent="0.3">
      <c r="A145" s="24" t="str">
        <f t="shared" si="22"/>
        <v>L017S010</v>
      </c>
      <c r="B145" s="32" t="s">
        <v>63</v>
      </c>
      <c r="C145" s="33" t="s">
        <v>34</v>
      </c>
      <c r="D145" s="33" t="s">
        <v>26</v>
      </c>
      <c r="E145" s="24" t="str">
        <f t="shared" si="25"/>
        <v>Foundations of ML</v>
      </c>
      <c r="F145" s="24" t="str">
        <f t="shared" si="25"/>
        <v>IN_6</v>
      </c>
      <c r="G145" s="24" t="str">
        <f t="shared" si="25"/>
        <v>Theory Session</v>
      </c>
      <c r="H145" s="24" t="str">
        <f t="shared" si="20"/>
        <v>Offline</v>
      </c>
      <c r="I145" s="24">
        <v>0</v>
      </c>
      <c r="J145" s="24">
        <f t="shared" si="21"/>
        <v>0</v>
      </c>
      <c r="K145" s="35">
        <f t="shared" si="23"/>
        <v>0</v>
      </c>
      <c r="L145" s="24">
        <f t="shared" si="24"/>
        <v>0</v>
      </c>
      <c r="M145" s="41"/>
    </row>
    <row r="146" spans="1:13" s="34" customFormat="1" ht="15.75" customHeight="1" x14ac:dyDescent="0.3">
      <c r="A146" s="24" t="str">
        <f t="shared" si="22"/>
        <v>L017S003</v>
      </c>
      <c r="B146" s="32" t="s">
        <v>63</v>
      </c>
      <c r="C146" s="33" t="s">
        <v>50</v>
      </c>
      <c r="D146" s="33" t="s">
        <v>26</v>
      </c>
      <c r="E146" s="24" t="str">
        <f t="shared" si="25"/>
        <v>Algebra Basics</v>
      </c>
      <c r="F146" s="24" t="str">
        <f t="shared" si="25"/>
        <v>IN_7</v>
      </c>
      <c r="G146" s="24" t="str">
        <f t="shared" si="25"/>
        <v>Workshop</v>
      </c>
      <c r="H146" s="24" t="str">
        <f t="shared" si="20"/>
        <v>Offline</v>
      </c>
      <c r="I146" s="24">
        <v>10</v>
      </c>
      <c r="J146" s="24">
        <f t="shared" si="21"/>
        <v>10</v>
      </c>
      <c r="K146" s="35">
        <f t="shared" si="23"/>
        <v>0.5</v>
      </c>
      <c r="L146" s="24">
        <f t="shared" si="24"/>
        <v>0.1</v>
      </c>
      <c r="M146" s="41"/>
    </row>
    <row r="147" spans="1:13" s="34" customFormat="1" ht="15.75" customHeight="1" x14ac:dyDescent="0.3">
      <c r="A147" s="24" t="str">
        <f t="shared" si="22"/>
        <v>L017S019</v>
      </c>
      <c r="B147" s="32" t="s">
        <v>63</v>
      </c>
      <c r="C147" s="33" t="s">
        <v>38</v>
      </c>
      <c r="D147" s="33" t="s">
        <v>29</v>
      </c>
      <c r="E147" s="24" t="str">
        <f t="shared" si="25"/>
        <v>CS Fundamentals</v>
      </c>
      <c r="F147" s="24" t="str">
        <f t="shared" si="25"/>
        <v>IN_6</v>
      </c>
      <c r="G147" s="24" t="str">
        <f t="shared" si="25"/>
        <v>Workshop</v>
      </c>
      <c r="H147" s="24" t="str">
        <f t="shared" si="20"/>
        <v>Offline</v>
      </c>
      <c r="I147" s="24">
        <v>0</v>
      </c>
      <c r="J147" s="24">
        <f t="shared" si="21"/>
        <v>0</v>
      </c>
      <c r="K147" s="35">
        <f t="shared" si="23"/>
        <v>0</v>
      </c>
      <c r="L147" s="24">
        <f t="shared" si="24"/>
        <v>0</v>
      </c>
      <c r="M147" s="41"/>
    </row>
    <row r="148" spans="1:13" s="34" customFormat="1" ht="15.75" customHeight="1" x14ac:dyDescent="0.3">
      <c r="A148" s="24" t="str">
        <f t="shared" si="22"/>
        <v>L017S018</v>
      </c>
      <c r="B148" s="32" t="s">
        <v>63</v>
      </c>
      <c r="C148" s="33" t="s">
        <v>25</v>
      </c>
      <c r="D148" s="33" t="s">
        <v>29</v>
      </c>
      <c r="E148" s="24" t="str">
        <f t="shared" si="25"/>
        <v>CS Fundamentals</v>
      </c>
      <c r="F148" s="24" t="str">
        <f t="shared" si="25"/>
        <v>IN_5</v>
      </c>
      <c r="G148" s="24" t="str">
        <f t="shared" si="25"/>
        <v>Practical</v>
      </c>
      <c r="H148" s="24" t="str">
        <f t="shared" si="20"/>
        <v>Online</v>
      </c>
      <c r="I148" s="24">
        <v>9</v>
      </c>
      <c r="J148" s="24">
        <f t="shared" si="21"/>
        <v>4</v>
      </c>
      <c r="K148" s="35">
        <f t="shared" si="23"/>
        <v>0.2</v>
      </c>
      <c r="L148" s="24">
        <f t="shared" si="24"/>
        <v>8.0000000000000016E-2</v>
      </c>
      <c r="M148" s="41"/>
    </row>
    <row r="149" spans="1:13" s="34" customFormat="1" ht="15.75" customHeight="1" x14ac:dyDescent="0.3">
      <c r="A149" s="24" t="str">
        <f t="shared" si="22"/>
        <v>L018S014</v>
      </c>
      <c r="B149" s="32" t="s">
        <v>64</v>
      </c>
      <c r="C149" s="33" t="s">
        <v>46</v>
      </c>
      <c r="D149" s="33" t="s">
        <v>29</v>
      </c>
      <c r="E149" s="24" t="str">
        <f t="shared" si="25"/>
        <v>Foundations of ML</v>
      </c>
      <c r="F149" s="24" t="str">
        <f t="shared" si="25"/>
        <v>IN_2</v>
      </c>
      <c r="G149" s="24" t="str">
        <f t="shared" si="25"/>
        <v>Theory Session</v>
      </c>
      <c r="H149" s="24" t="str">
        <f t="shared" si="20"/>
        <v>Online</v>
      </c>
      <c r="I149" s="24">
        <v>0</v>
      </c>
      <c r="J149" s="24">
        <f t="shared" si="21"/>
        <v>0</v>
      </c>
      <c r="K149" s="35">
        <f t="shared" si="23"/>
        <v>0</v>
      </c>
      <c r="L149" s="24">
        <f t="shared" si="24"/>
        <v>0</v>
      </c>
      <c r="M149" s="41"/>
    </row>
    <row r="150" spans="1:13" s="34" customFormat="1" ht="15.75" customHeight="1" x14ac:dyDescent="0.3">
      <c r="A150" s="24" t="str">
        <f t="shared" si="22"/>
        <v>L018S008</v>
      </c>
      <c r="B150" s="32" t="s">
        <v>64</v>
      </c>
      <c r="C150" s="33" t="s">
        <v>32</v>
      </c>
      <c r="D150" s="33" t="s">
        <v>26</v>
      </c>
      <c r="E150" s="24" t="str">
        <f t="shared" si="25"/>
        <v>CS Fundamentals</v>
      </c>
      <c r="F150" s="24" t="str">
        <f t="shared" si="25"/>
        <v>IN_2</v>
      </c>
      <c r="G150" s="24" t="str">
        <f t="shared" si="25"/>
        <v>Practical</v>
      </c>
      <c r="H150" s="24" t="str">
        <f t="shared" si="20"/>
        <v>Online</v>
      </c>
      <c r="I150" s="24">
        <v>14</v>
      </c>
      <c r="J150" s="24">
        <f t="shared" si="21"/>
        <v>14</v>
      </c>
      <c r="K150" s="35">
        <f t="shared" si="23"/>
        <v>0.7</v>
      </c>
      <c r="L150" s="24">
        <f t="shared" si="24"/>
        <v>0.27999999999999997</v>
      </c>
      <c r="M150" s="41"/>
    </row>
    <row r="151" spans="1:13" s="34" customFormat="1" ht="15.75" customHeight="1" x14ac:dyDescent="0.3">
      <c r="A151" s="24" t="str">
        <f t="shared" si="22"/>
        <v>L018S012</v>
      </c>
      <c r="B151" s="32" t="s">
        <v>64</v>
      </c>
      <c r="C151" s="33" t="s">
        <v>33</v>
      </c>
      <c r="D151" s="33" t="s">
        <v>29</v>
      </c>
      <c r="E151" s="24" t="str">
        <f t="shared" si="25"/>
        <v>Foundations of ML</v>
      </c>
      <c r="F151" s="24" t="str">
        <f t="shared" si="25"/>
        <v>IN_1</v>
      </c>
      <c r="G151" s="24" t="str">
        <f t="shared" si="25"/>
        <v>Workshop</v>
      </c>
      <c r="H151" s="24" t="str">
        <f t="shared" si="20"/>
        <v>Offline</v>
      </c>
      <c r="I151" s="24">
        <v>0</v>
      </c>
      <c r="J151" s="24">
        <f t="shared" si="21"/>
        <v>0</v>
      </c>
      <c r="K151" s="35">
        <f t="shared" si="23"/>
        <v>0</v>
      </c>
      <c r="L151" s="24">
        <f t="shared" si="24"/>
        <v>0</v>
      </c>
      <c r="M151" s="41"/>
    </row>
    <row r="152" spans="1:13" s="34" customFormat="1" ht="15.75" customHeight="1" x14ac:dyDescent="0.3">
      <c r="A152" s="24" t="str">
        <f t="shared" si="22"/>
        <v>L018S001</v>
      </c>
      <c r="B152" s="32" t="s">
        <v>64</v>
      </c>
      <c r="C152" s="33" t="s">
        <v>43</v>
      </c>
      <c r="D152" s="33" t="s">
        <v>29</v>
      </c>
      <c r="E152" s="24" t="str">
        <f t="shared" si="25"/>
        <v>CS Fundamentals</v>
      </c>
      <c r="F152" s="24" t="str">
        <f t="shared" si="25"/>
        <v>IN_2</v>
      </c>
      <c r="G152" s="24" t="str">
        <f t="shared" si="25"/>
        <v>Theory Session</v>
      </c>
      <c r="H152" s="24" t="str">
        <f t="shared" si="20"/>
        <v>Online</v>
      </c>
      <c r="I152" s="24">
        <v>0</v>
      </c>
      <c r="J152" s="24">
        <f t="shared" si="21"/>
        <v>0</v>
      </c>
      <c r="K152" s="35">
        <f t="shared" si="23"/>
        <v>0</v>
      </c>
      <c r="L152" s="24">
        <f t="shared" si="24"/>
        <v>0</v>
      </c>
      <c r="M152" s="41"/>
    </row>
    <row r="153" spans="1:13" s="34" customFormat="1" ht="15.75" customHeight="1" x14ac:dyDescent="0.3">
      <c r="A153" s="24" t="str">
        <f t="shared" si="22"/>
        <v>L018S013</v>
      </c>
      <c r="B153" s="32" t="s">
        <v>64</v>
      </c>
      <c r="C153" s="33" t="s">
        <v>44</v>
      </c>
      <c r="D153" s="33" t="s">
        <v>29</v>
      </c>
      <c r="E153" s="24" t="str">
        <f t="shared" si="25"/>
        <v>Algebra Basics</v>
      </c>
      <c r="F153" s="24" t="str">
        <f t="shared" si="25"/>
        <v>IN_3</v>
      </c>
      <c r="G153" s="24" t="str">
        <f t="shared" si="25"/>
        <v>Workshop</v>
      </c>
      <c r="H153" s="24" t="str">
        <f t="shared" si="20"/>
        <v>Offline</v>
      </c>
      <c r="I153" s="24">
        <v>16</v>
      </c>
      <c r="J153" s="24">
        <f t="shared" si="21"/>
        <v>11</v>
      </c>
      <c r="K153" s="35">
        <f t="shared" si="23"/>
        <v>0.55000000000000004</v>
      </c>
      <c r="L153" s="24">
        <f t="shared" si="24"/>
        <v>0.11000000000000001</v>
      </c>
      <c r="M153" s="41"/>
    </row>
    <row r="154" spans="1:13" s="34" customFormat="1" ht="15.75" customHeight="1" x14ac:dyDescent="0.3">
      <c r="A154" s="24" t="str">
        <f t="shared" si="22"/>
        <v>L018S005</v>
      </c>
      <c r="B154" s="32" t="s">
        <v>64</v>
      </c>
      <c r="C154" s="33" t="s">
        <v>36</v>
      </c>
      <c r="D154" s="33" t="s">
        <v>26</v>
      </c>
      <c r="E154" s="24" t="str">
        <f t="shared" si="25"/>
        <v>Algebra Basics</v>
      </c>
      <c r="F154" s="24" t="str">
        <f t="shared" si="25"/>
        <v>IN_4</v>
      </c>
      <c r="G154" s="24" t="str">
        <f t="shared" si="25"/>
        <v>Workshop</v>
      </c>
      <c r="H154" s="24" t="str">
        <f t="shared" si="20"/>
        <v>Online</v>
      </c>
      <c r="I154" s="24">
        <v>12</v>
      </c>
      <c r="J154" s="24">
        <f t="shared" si="21"/>
        <v>12</v>
      </c>
      <c r="K154" s="35">
        <f t="shared" si="23"/>
        <v>0.6</v>
      </c>
      <c r="L154" s="24">
        <f t="shared" si="24"/>
        <v>0.12</v>
      </c>
      <c r="M154" s="41"/>
    </row>
    <row r="155" spans="1:13" s="34" customFormat="1" ht="15.75" customHeight="1" x14ac:dyDescent="0.3">
      <c r="A155" s="24" t="str">
        <f t="shared" si="22"/>
        <v>L018S020</v>
      </c>
      <c r="B155" s="32" t="s">
        <v>64</v>
      </c>
      <c r="C155" s="33" t="s">
        <v>30</v>
      </c>
      <c r="D155" s="33" t="s">
        <v>26</v>
      </c>
      <c r="E155" s="24" t="str">
        <f t="shared" si="25"/>
        <v>Foundations of ML</v>
      </c>
      <c r="F155" s="24" t="str">
        <f t="shared" si="25"/>
        <v>IN_4</v>
      </c>
      <c r="G155" s="24" t="str">
        <f t="shared" si="25"/>
        <v>Workshop</v>
      </c>
      <c r="H155" s="24" t="str">
        <f t="shared" si="20"/>
        <v>Online</v>
      </c>
      <c r="I155" s="24">
        <v>11</v>
      </c>
      <c r="J155" s="24">
        <f t="shared" si="21"/>
        <v>11</v>
      </c>
      <c r="K155" s="35">
        <f t="shared" si="23"/>
        <v>0.55000000000000004</v>
      </c>
      <c r="L155" s="24">
        <f t="shared" si="24"/>
        <v>0.11000000000000001</v>
      </c>
      <c r="M155" s="41"/>
    </row>
    <row r="156" spans="1:13" s="34" customFormat="1" ht="15.75" customHeight="1" x14ac:dyDescent="0.3">
      <c r="A156" s="24" t="str">
        <f t="shared" si="22"/>
        <v>L019S008</v>
      </c>
      <c r="B156" s="32" t="s">
        <v>65</v>
      </c>
      <c r="C156" s="33" t="s">
        <v>32</v>
      </c>
      <c r="D156" s="33" t="s">
        <v>26</v>
      </c>
      <c r="E156" s="24" t="str">
        <f t="shared" si="25"/>
        <v>CS Fundamentals</v>
      </c>
      <c r="F156" s="24" t="str">
        <f t="shared" si="25"/>
        <v>IN_2</v>
      </c>
      <c r="G156" s="24" t="str">
        <f t="shared" si="25"/>
        <v>Practical</v>
      </c>
      <c r="H156" s="24" t="str">
        <f t="shared" si="20"/>
        <v>Online</v>
      </c>
      <c r="I156" s="24">
        <v>0</v>
      </c>
      <c r="J156" s="24">
        <f t="shared" si="21"/>
        <v>0</v>
      </c>
      <c r="K156" s="35">
        <f t="shared" si="23"/>
        <v>0</v>
      </c>
      <c r="L156" s="24">
        <f t="shared" si="24"/>
        <v>0</v>
      </c>
      <c r="M156" s="41"/>
    </row>
    <row r="157" spans="1:13" s="34" customFormat="1" ht="15.75" customHeight="1" x14ac:dyDescent="0.3">
      <c r="A157" s="24" t="str">
        <f t="shared" si="22"/>
        <v>L019S006</v>
      </c>
      <c r="B157" s="32" t="s">
        <v>65</v>
      </c>
      <c r="C157" s="33" t="s">
        <v>40</v>
      </c>
      <c r="D157" s="33" t="s">
        <v>29</v>
      </c>
      <c r="E157" s="24" t="str">
        <f t="shared" si="25"/>
        <v>Communication</v>
      </c>
      <c r="F157" s="24" t="str">
        <f t="shared" si="25"/>
        <v>IN_6</v>
      </c>
      <c r="G157" s="24" t="str">
        <f t="shared" si="25"/>
        <v>Theory Session</v>
      </c>
      <c r="H157" s="24" t="str">
        <f t="shared" si="20"/>
        <v>Online</v>
      </c>
      <c r="I157" s="24">
        <v>0</v>
      </c>
      <c r="J157" s="24">
        <f t="shared" si="21"/>
        <v>0</v>
      </c>
      <c r="K157" s="35">
        <f t="shared" si="23"/>
        <v>0</v>
      </c>
      <c r="L157" s="24">
        <f t="shared" si="24"/>
        <v>0</v>
      </c>
      <c r="M157" s="41"/>
    </row>
    <row r="158" spans="1:13" s="34" customFormat="1" ht="15.75" customHeight="1" x14ac:dyDescent="0.3">
      <c r="A158" s="24" t="str">
        <f t="shared" si="22"/>
        <v>L019S015</v>
      </c>
      <c r="B158" s="32" t="s">
        <v>65</v>
      </c>
      <c r="C158" s="33" t="s">
        <v>41</v>
      </c>
      <c r="D158" s="33" t="s">
        <v>26</v>
      </c>
      <c r="E158" s="24" t="str">
        <f t="shared" si="25"/>
        <v>Foundations of ML</v>
      </c>
      <c r="F158" s="24" t="str">
        <f t="shared" si="25"/>
        <v>IN_4</v>
      </c>
      <c r="G158" s="24" t="str">
        <f t="shared" si="25"/>
        <v>Practical</v>
      </c>
      <c r="H158" s="24" t="str">
        <f t="shared" si="20"/>
        <v>Offline</v>
      </c>
      <c r="I158" s="24">
        <v>0</v>
      </c>
      <c r="J158" s="24">
        <f t="shared" si="21"/>
        <v>0</v>
      </c>
      <c r="K158" s="35">
        <f t="shared" si="23"/>
        <v>0</v>
      </c>
      <c r="L158" s="24">
        <f t="shared" si="24"/>
        <v>0</v>
      </c>
      <c r="M158" s="41"/>
    </row>
    <row r="159" spans="1:13" s="34" customFormat="1" ht="15.75" customHeight="1" x14ac:dyDescent="0.3">
      <c r="A159" s="24" t="str">
        <f t="shared" si="22"/>
        <v>L019S005</v>
      </c>
      <c r="B159" s="32" t="s">
        <v>65</v>
      </c>
      <c r="C159" s="33" t="s">
        <v>36</v>
      </c>
      <c r="D159" s="33" t="s">
        <v>26</v>
      </c>
      <c r="E159" s="24" t="str">
        <f t="shared" si="25"/>
        <v>Algebra Basics</v>
      </c>
      <c r="F159" s="24" t="str">
        <f t="shared" si="25"/>
        <v>IN_4</v>
      </c>
      <c r="G159" s="24" t="str">
        <f t="shared" si="25"/>
        <v>Workshop</v>
      </c>
      <c r="H159" s="24" t="str">
        <f t="shared" si="20"/>
        <v>Online</v>
      </c>
      <c r="I159" s="24">
        <v>5</v>
      </c>
      <c r="J159" s="24">
        <f t="shared" si="21"/>
        <v>5</v>
      </c>
      <c r="K159" s="35">
        <f t="shared" si="23"/>
        <v>0.25</v>
      </c>
      <c r="L159" s="24">
        <f t="shared" si="24"/>
        <v>0.05</v>
      </c>
      <c r="M159" s="41"/>
    </row>
    <row r="160" spans="1:13" s="34" customFormat="1" ht="15.75" customHeight="1" x14ac:dyDescent="0.3">
      <c r="A160" s="24" t="str">
        <f t="shared" si="22"/>
        <v>L019S017</v>
      </c>
      <c r="B160" s="32" t="s">
        <v>65</v>
      </c>
      <c r="C160" s="33" t="s">
        <v>28</v>
      </c>
      <c r="D160" s="33" t="s">
        <v>26</v>
      </c>
      <c r="E160" s="24" t="str">
        <f t="shared" si="25"/>
        <v>Communication</v>
      </c>
      <c r="F160" s="24" t="str">
        <f t="shared" si="25"/>
        <v>IN_7</v>
      </c>
      <c r="G160" s="24" t="str">
        <f t="shared" si="25"/>
        <v>Practical</v>
      </c>
      <c r="H160" s="24" t="str">
        <f t="shared" si="20"/>
        <v>Offline</v>
      </c>
      <c r="I160" s="24">
        <v>0</v>
      </c>
      <c r="J160" s="24">
        <f t="shared" si="21"/>
        <v>0</v>
      </c>
      <c r="K160" s="35">
        <f t="shared" si="23"/>
        <v>0</v>
      </c>
      <c r="L160" s="24">
        <f t="shared" si="24"/>
        <v>0</v>
      </c>
      <c r="M160" s="41"/>
    </row>
    <row r="161" spans="1:13" s="34" customFormat="1" ht="15.75" customHeight="1" x14ac:dyDescent="0.3">
      <c r="A161" s="24" t="str">
        <f t="shared" si="22"/>
        <v>L019S011</v>
      </c>
      <c r="B161" s="32" t="s">
        <v>65</v>
      </c>
      <c r="C161" s="33" t="s">
        <v>39</v>
      </c>
      <c r="D161" s="33" t="s">
        <v>29</v>
      </c>
      <c r="E161" s="24" t="str">
        <f t="shared" si="25"/>
        <v>Algebra Basics</v>
      </c>
      <c r="F161" s="24" t="str">
        <f t="shared" si="25"/>
        <v>IN_4</v>
      </c>
      <c r="G161" s="24" t="str">
        <f t="shared" si="25"/>
        <v>Theory Session</v>
      </c>
      <c r="H161" s="24" t="str">
        <f t="shared" si="20"/>
        <v>Online</v>
      </c>
      <c r="I161" s="24">
        <v>0</v>
      </c>
      <c r="J161" s="24">
        <f t="shared" si="21"/>
        <v>0</v>
      </c>
      <c r="K161" s="35">
        <f t="shared" si="23"/>
        <v>0</v>
      </c>
      <c r="L161" s="24">
        <f t="shared" si="24"/>
        <v>0</v>
      </c>
      <c r="M161" s="41"/>
    </row>
    <row r="162" spans="1:13" s="34" customFormat="1" ht="15.75" customHeight="1" x14ac:dyDescent="0.3">
      <c r="A162" s="24" t="str">
        <f t="shared" si="22"/>
        <v>L020S002</v>
      </c>
      <c r="B162" s="32" t="s">
        <v>66</v>
      </c>
      <c r="C162" s="33" t="s">
        <v>31</v>
      </c>
      <c r="D162" s="33" t="s">
        <v>26</v>
      </c>
      <c r="E162" s="24" t="str">
        <f t="shared" si="25"/>
        <v>CS Fundamentals</v>
      </c>
      <c r="F162" s="24" t="str">
        <f t="shared" si="25"/>
        <v>IN_3</v>
      </c>
      <c r="G162" s="24" t="str">
        <f t="shared" si="25"/>
        <v>Practical</v>
      </c>
      <c r="H162" s="24" t="str">
        <f t="shared" si="20"/>
        <v>Offline</v>
      </c>
      <c r="I162" s="24">
        <v>0</v>
      </c>
      <c r="J162" s="24">
        <f t="shared" si="21"/>
        <v>0</v>
      </c>
      <c r="K162" s="35">
        <f t="shared" si="23"/>
        <v>0</v>
      </c>
      <c r="L162" s="24">
        <f t="shared" si="24"/>
        <v>0</v>
      </c>
      <c r="M162" s="41"/>
    </row>
    <row r="163" spans="1:13" s="34" customFormat="1" ht="15.75" customHeight="1" x14ac:dyDescent="0.3">
      <c r="A163" s="24" t="str">
        <f t="shared" si="22"/>
        <v>L020S007</v>
      </c>
      <c r="B163" s="32" t="s">
        <v>66</v>
      </c>
      <c r="C163" s="33" t="s">
        <v>35</v>
      </c>
      <c r="D163" s="33" t="s">
        <v>26</v>
      </c>
      <c r="E163" s="24" t="str">
        <f t="shared" ref="E163:G182" si="26">VLOOKUP($C163,session_details,E$1,FALSE)</f>
        <v>Communication</v>
      </c>
      <c r="F163" s="24" t="str">
        <f t="shared" si="26"/>
        <v>IN_1</v>
      </c>
      <c r="G163" s="24" t="str">
        <f t="shared" si="26"/>
        <v>Practical</v>
      </c>
      <c r="H163" s="24" t="str">
        <f t="shared" si="20"/>
        <v>Offline</v>
      </c>
      <c r="I163" s="24">
        <v>0</v>
      </c>
      <c r="J163" s="24">
        <f t="shared" si="21"/>
        <v>0</v>
      </c>
      <c r="K163" s="35">
        <f t="shared" si="23"/>
        <v>0</v>
      </c>
      <c r="L163" s="24">
        <f t="shared" si="24"/>
        <v>0</v>
      </c>
      <c r="M163" s="41"/>
    </row>
    <row r="164" spans="1:13" s="34" customFormat="1" ht="15.75" customHeight="1" x14ac:dyDescent="0.3">
      <c r="A164" s="24" t="str">
        <f t="shared" si="22"/>
        <v>L020S019</v>
      </c>
      <c r="B164" s="32" t="s">
        <v>66</v>
      </c>
      <c r="C164" s="33" t="s">
        <v>38</v>
      </c>
      <c r="D164" s="33" t="s">
        <v>26</v>
      </c>
      <c r="E164" s="24" t="str">
        <f t="shared" si="26"/>
        <v>CS Fundamentals</v>
      </c>
      <c r="F164" s="24" t="str">
        <f t="shared" si="26"/>
        <v>IN_6</v>
      </c>
      <c r="G164" s="24" t="str">
        <f t="shared" si="26"/>
        <v>Workshop</v>
      </c>
      <c r="H164" s="24" t="str">
        <f t="shared" si="20"/>
        <v>Offline</v>
      </c>
      <c r="I164" s="24">
        <v>12</v>
      </c>
      <c r="J164" s="24">
        <f t="shared" si="21"/>
        <v>12</v>
      </c>
      <c r="K164" s="35">
        <f t="shared" si="23"/>
        <v>0.6</v>
      </c>
      <c r="L164" s="24">
        <f t="shared" si="24"/>
        <v>0.12</v>
      </c>
      <c r="M164" s="41"/>
    </row>
    <row r="165" spans="1:13" s="34" customFormat="1" ht="15.75" customHeight="1" x14ac:dyDescent="0.3">
      <c r="A165" s="24" t="str">
        <f t="shared" si="22"/>
        <v>L020S006</v>
      </c>
      <c r="B165" s="32" t="s">
        <v>66</v>
      </c>
      <c r="C165" s="33" t="s">
        <v>40</v>
      </c>
      <c r="D165" s="33" t="s">
        <v>26</v>
      </c>
      <c r="E165" s="24" t="str">
        <f t="shared" si="26"/>
        <v>Communication</v>
      </c>
      <c r="F165" s="24" t="str">
        <f t="shared" si="26"/>
        <v>IN_6</v>
      </c>
      <c r="G165" s="24" t="str">
        <f t="shared" si="26"/>
        <v>Theory Session</v>
      </c>
      <c r="H165" s="24" t="str">
        <f t="shared" si="20"/>
        <v>Online</v>
      </c>
      <c r="I165" s="24">
        <v>14</v>
      </c>
      <c r="J165" s="24">
        <f t="shared" si="21"/>
        <v>14</v>
      </c>
      <c r="K165" s="35">
        <f t="shared" si="23"/>
        <v>0.7</v>
      </c>
      <c r="L165" s="24">
        <f t="shared" si="24"/>
        <v>0.27999999999999997</v>
      </c>
      <c r="M165" s="41"/>
    </row>
    <row r="166" spans="1:13" s="34" customFormat="1" ht="15.75" customHeight="1" x14ac:dyDescent="0.3">
      <c r="A166" s="24" t="str">
        <f t="shared" si="22"/>
        <v>L020S004</v>
      </c>
      <c r="B166" s="32" t="s">
        <v>66</v>
      </c>
      <c r="C166" s="33" t="s">
        <v>47</v>
      </c>
      <c r="D166" s="33" t="s">
        <v>26</v>
      </c>
      <c r="E166" s="24" t="str">
        <f t="shared" si="26"/>
        <v>Foundations of ML</v>
      </c>
      <c r="F166" s="24" t="str">
        <f t="shared" si="26"/>
        <v>IN_4</v>
      </c>
      <c r="G166" s="24" t="str">
        <f t="shared" si="26"/>
        <v>Workshop</v>
      </c>
      <c r="H166" s="24" t="str">
        <f t="shared" si="20"/>
        <v>Online</v>
      </c>
      <c r="I166" s="24">
        <v>0</v>
      </c>
      <c r="J166" s="24">
        <f t="shared" si="21"/>
        <v>0</v>
      </c>
      <c r="K166" s="35">
        <f t="shared" si="23"/>
        <v>0</v>
      </c>
      <c r="L166" s="24">
        <f t="shared" si="24"/>
        <v>0</v>
      </c>
      <c r="M166" s="41"/>
    </row>
    <row r="167" spans="1:13" s="34" customFormat="1" ht="15.75" customHeight="1" x14ac:dyDescent="0.3">
      <c r="A167" s="24" t="str">
        <f t="shared" si="22"/>
        <v>L020S011</v>
      </c>
      <c r="B167" s="32" t="s">
        <v>66</v>
      </c>
      <c r="C167" s="33" t="s">
        <v>39</v>
      </c>
      <c r="D167" s="33" t="s">
        <v>26</v>
      </c>
      <c r="E167" s="24" t="str">
        <f t="shared" si="26"/>
        <v>Algebra Basics</v>
      </c>
      <c r="F167" s="24" t="str">
        <f t="shared" si="26"/>
        <v>IN_4</v>
      </c>
      <c r="G167" s="24" t="str">
        <f t="shared" si="26"/>
        <v>Theory Session</v>
      </c>
      <c r="H167" s="24" t="str">
        <f t="shared" si="20"/>
        <v>Online</v>
      </c>
      <c r="I167" s="24">
        <v>0</v>
      </c>
      <c r="J167" s="24">
        <f t="shared" si="21"/>
        <v>0</v>
      </c>
      <c r="K167" s="35">
        <f t="shared" si="23"/>
        <v>0</v>
      </c>
      <c r="L167" s="24">
        <f t="shared" si="24"/>
        <v>0</v>
      </c>
      <c r="M167" s="41"/>
    </row>
    <row r="168" spans="1:13" s="34" customFormat="1" ht="15.75" customHeight="1" x14ac:dyDescent="0.3">
      <c r="A168" s="24" t="str">
        <f t="shared" si="22"/>
        <v>L020S014</v>
      </c>
      <c r="B168" s="32" t="s">
        <v>66</v>
      </c>
      <c r="C168" s="33" t="s">
        <v>46</v>
      </c>
      <c r="D168" s="33" t="s">
        <v>26</v>
      </c>
      <c r="E168" s="24" t="str">
        <f t="shared" si="26"/>
        <v>Foundations of ML</v>
      </c>
      <c r="F168" s="24" t="str">
        <f t="shared" si="26"/>
        <v>IN_2</v>
      </c>
      <c r="G168" s="24" t="str">
        <f t="shared" si="26"/>
        <v>Theory Session</v>
      </c>
      <c r="H168" s="24" t="str">
        <f t="shared" si="20"/>
        <v>Online</v>
      </c>
      <c r="I168" s="24">
        <v>12</v>
      </c>
      <c r="J168" s="24">
        <f t="shared" si="21"/>
        <v>12</v>
      </c>
      <c r="K168" s="35">
        <f t="shared" si="23"/>
        <v>0.6</v>
      </c>
      <c r="L168" s="24">
        <f t="shared" si="24"/>
        <v>0.24</v>
      </c>
      <c r="M168" s="41"/>
    </row>
    <row r="169" spans="1:13" s="34" customFormat="1" ht="15.75" customHeight="1" x14ac:dyDescent="0.3">
      <c r="A169" s="24" t="str">
        <f t="shared" si="22"/>
        <v>L020S008</v>
      </c>
      <c r="B169" s="32" t="s">
        <v>66</v>
      </c>
      <c r="C169" s="33" t="s">
        <v>32</v>
      </c>
      <c r="D169" s="33" t="s">
        <v>29</v>
      </c>
      <c r="E169" s="24" t="str">
        <f t="shared" si="26"/>
        <v>CS Fundamentals</v>
      </c>
      <c r="F169" s="24" t="str">
        <f t="shared" si="26"/>
        <v>IN_2</v>
      </c>
      <c r="G169" s="24" t="str">
        <f t="shared" si="26"/>
        <v>Practical</v>
      </c>
      <c r="H169" s="24" t="str">
        <f t="shared" si="20"/>
        <v>Online</v>
      </c>
      <c r="I169" s="24">
        <v>13</v>
      </c>
      <c r="J169" s="24">
        <f t="shared" si="21"/>
        <v>8</v>
      </c>
      <c r="K169" s="35">
        <f t="shared" si="23"/>
        <v>0.4</v>
      </c>
      <c r="L169" s="24">
        <f t="shared" si="24"/>
        <v>0.16000000000000003</v>
      </c>
      <c r="M169" s="41"/>
    </row>
    <row r="170" spans="1:13" s="34" customFormat="1" ht="15.75" customHeight="1" x14ac:dyDescent="0.3">
      <c r="A170" s="24" t="str">
        <f t="shared" si="22"/>
        <v>L020S018</v>
      </c>
      <c r="B170" s="32" t="s">
        <v>66</v>
      </c>
      <c r="C170" s="33" t="s">
        <v>25</v>
      </c>
      <c r="D170" s="33" t="s">
        <v>26</v>
      </c>
      <c r="E170" s="24" t="str">
        <f t="shared" si="26"/>
        <v>CS Fundamentals</v>
      </c>
      <c r="F170" s="24" t="str">
        <f t="shared" si="26"/>
        <v>IN_5</v>
      </c>
      <c r="G170" s="24" t="str">
        <f t="shared" si="26"/>
        <v>Practical</v>
      </c>
      <c r="H170" s="24" t="str">
        <f t="shared" si="20"/>
        <v>Online</v>
      </c>
      <c r="I170" s="24">
        <v>13</v>
      </c>
      <c r="J170" s="24">
        <f t="shared" si="21"/>
        <v>13</v>
      </c>
      <c r="K170" s="35">
        <f t="shared" si="23"/>
        <v>0.65</v>
      </c>
      <c r="L170" s="24">
        <f t="shared" si="24"/>
        <v>0.26</v>
      </c>
      <c r="M170" s="41"/>
    </row>
    <row r="171" spans="1:13" s="34" customFormat="1" ht="15.75" customHeight="1" x14ac:dyDescent="0.3">
      <c r="A171" s="24" t="str">
        <f t="shared" si="22"/>
        <v>L020S017</v>
      </c>
      <c r="B171" s="32" t="s">
        <v>66</v>
      </c>
      <c r="C171" s="33" t="s">
        <v>28</v>
      </c>
      <c r="D171" s="33" t="s">
        <v>26</v>
      </c>
      <c r="E171" s="24" t="str">
        <f t="shared" si="26"/>
        <v>Communication</v>
      </c>
      <c r="F171" s="24" t="str">
        <f t="shared" si="26"/>
        <v>IN_7</v>
      </c>
      <c r="G171" s="24" t="str">
        <f t="shared" si="26"/>
        <v>Practical</v>
      </c>
      <c r="H171" s="24" t="str">
        <f t="shared" si="20"/>
        <v>Offline</v>
      </c>
      <c r="I171" s="24">
        <v>0</v>
      </c>
      <c r="J171" s="24">
        <f t="shared" si="21"/>
        <v>0</v>
      </c>
      <c r="K171" s="35">
        <f t="shared" si="23"/>
        <v>0</v>
      </c>
      <c r="L171" s="24">
        <f t="shared" si="24"/>
        <v>0</v>
      </c>
      <c r="M171" s="41"/>
    </row>
    <row r="172" spans="1:13" s="34" customFormat="1" ht="15.75" customHeight="1" x14ac:dyDescent="0.3">
      <c r="A172" s="24" t="str">
        <f t="shared" si="22"/>
        <v>L020S005</v>
      </c>
      <c r="B172" s="32" t="s">
        <v>66</v>
      </c>
      <c r="C172" s="33" t="s">
        <v>36</v>
      </c>
      <c r="D172" s="33" t="s">
        <v>29</v>
      </c>
      <c r="E172" s="24" t="str">
        <f t="shared" si="26"/>
        <v>Algebra Basics</v>
      </c>
      <c r="F172" s="24" t="str">
        <f t="shared" si="26"/>
        <v>IN_4</v>
      </c>
      <c r="G172" s="24" t="str">
        <f t="shared" si="26"/>
        <v>Workshop</v>
      </c>
      <c r="H172" s="24" t="str">
        <f t="shared" si="20"/>
        <v>Online</v>
      </c>
      <c r="I172" s="24">
        <v>0</v>
      </c>
      <c r="J172" s="24">
        <f t="shared" si="21"/>
        <v>0</v>
      </c>
      <c r="K172" s="35">
        <f t="shared" si="23"/>
        <v>0</v>
      </c>
      <c r="L172" s="24">
        <f t="shared" si="24"/>
        <v>0</v>
      </c>
      <c r="M172" s="41"/>
    </row>
    <row r="173" spans="1:13" s="34" customFormat="1" ht="15.75" customHeight="1" x14ac:dyDescent="0.3">
      <c r="A173" s="24" t="str">
        <f t="shared" si="22"/>
        <v>L021S020</v>
      </c>
      <c r="B173" s="32" t="s">
        <v>67</v>
      </c>
      <c r="C173" s="33" t="s">
        <v>30</v>
      </c>
      <c r="D173" s="33" t="s">
        <v>37</v>
      </c>
      <c r="E173" s="24" t="str">
        <f t="shared" si="26"/>
        <v>Foundations of ML</v>
      </c>
      <c r="F173" s="24" t="str">
        <f t="shared" si="26"/>
        <v>IN_4</v>
      </c>
      <c r="G173" s="24" t="str">
        <f t="shared" si="26"/>
        <v>Workshop</v>
      </c>
      <c r="H173" s="24" t="str">
        <f t="shared" si="20"/>
        <v>Online</v>
      </c>
      <c r="I173" s="24">
        <v>0</v>
      </c>
      <c r="J173" s="24">
        <f t="shared" si="21"/>
        <v>0</v>
      </c>
      <c r="K173" s="35">
        <f t="shared" si="23"/>
        <v>0</v>
      </c>
      <c r="L173" s="24">
        <f t="shared" si="24"/>
        <v>0</v>
      </c>
      <c r="M173" s="41"/>
    </row>
    <row r="174" spans="1:13" s="34" customFormat="1" ht="15.75" customHeight="1" x14ac:dyDescent="0.3">
      <c r="A174" s="24" t="str">
        <f t="shared" si="22"/>
        <v>L021S019</v>
      </c>
      <c r="B174" s="32" t="s">
        <v>67</v>
      </c>
      <c r="C174" s="33" t="s">
        <v>38</v>
      </c>
      <c r="D174" s="33" t="s">
        <v>26</v>
      </c>
      <c r="E174" s="24" t="str">
        <f t="shared" si="26"/>
        <v>CS Fundamentals</v>
      </c>
      <c r="F174" s="24" t="str">
        <f t="shared" si="26"/>
        <v>IN_6</v>
      </c>
      <c r="G174" s="24" t="str">
        <f t="shared" si="26"/>
        <v>Workshop</v>
      </c>
      <c r="H174" s="24" t="str">
        <f t="shared" si="20"/>
        <v>Offline</v>
      </c>
      <c r="I174" s="24">
        <v>0</v>
      </c>
      <c r="J174" s="24">
        <f t="shared" si="21"/>
        <v>0</v>
      </c>
      <c r="K174" s="35">
        <f t="shared" si="23"/>
        <v>0</v>
      </c>
      <c r="L174" s="24">
        <f t="shared" si="24"/>
        <v>0</v>
      </c>
      <c r="M174" s="41"/>
    </row>
    <row r="175" spans="1:13" s="34" customFormat="1" ht="15.75" customHeight="1" x14ac:dyDescent="0.3">
      <c r="A175" s="24" t="str">
        <f t="shared" si="22"/>
        <v>L021S005</v>
      </c>
      <c r="B175" s="32" t="s">
        <v>67</v>
      </c>
      <c r="C175" s="33" t="s">
        <v>36</v>
      </c>
      <c r="D175" s="33" t="s">
        <v>26</v>
      </c>
      <c r="E175" s="24" t="str">
        <f t="shared" si="26"/>
        <v>Algebra Basics</v>
      </c>
      <c r="F175" s="24" t="str">
        <f t="shared" si="26"/>
        <v>IN_4</v>
      </c>
      <c r="G175" s="24" t="str">
        <f t="shared" si="26"/>
        <v>Workshop</v>
      </c>
      <c r="H175" s="24" t="str">
        <f t="shared" si="20"/>
        <v>Online</v>
      </c>
      <c r="I175" s="24">
        <v>0</v>
      </c>
      <c r="J175" s="24">
        <f t="shared" si="21"/>
        <v>0</v>
      </c>
      <c r="K175" s="35">
        <f t="shared" si="23"/>
        <v>0</v>
      </c>
      <c r="L175" s="24">
        <f t="shared" si="24"/>
        <v>0</v>
      </c>
      <c r="M175" s="41"/>
    </row>
    <row r="176" spans="1:13" s="34" customFormat="1" ht="15.75" customHeight="1" x14ac:dyDescent="0.3">
      <c r="A176" s="24" t="str">
        <f t="shared" si="22"/>
        <v>L021S010</v>
      </c>
      <c r="B176" s="32" t="s">
        <v>67</v>
      </c>
      <c r="C176" s="33" t="s">
        <v>34</v>
      </c>
      <c r="D176" s="33" t="s">
        <v>26</v>
      </c>
      <c r="E176" s="24" t="str">
        <f t="shared" si="26"/>
        <v>Foundations of ML</v>
      </c>
      <c r="F176" s="24" t="str">
        <f t="shared" si="26"/>
        <v>IN_6</v>
      </c>
      <c r="G176" s="24" t="str">
        <f t="shared" si="26"/>
        <v>Theory Session</v>
      </c>
      <c r="H176" s="24" t="str">
        <f t="shared" si="20"/>
        <v>Offline</v>
      </c>
      <c r="I176" s="24">
        <v>0</v>
      </c>
      <c r="J176" s="24">
        <f t="shared" si="21"/>
        <v>0</v>
      </c>
      <c r="K176" s="35">
        <f t="shared" si="23"/>
        <v>0</v>
      </c>
      <c r="L176" s="24">
        <f t="shared" si="24"/>
        <v>0</v>
      </c>
      <c r="M176" s="41"/>
    </row>
    <row r="177" spans="1:13" s="34" customFormat="1" ht="15.75" customHeight="1" x14ac:dyDescent="0.3">
      <c r="A177" s="24" t="str">
        <f t="shared" si="22"/>
        <v>L021S002</v>
      </c>
      <c r="B177" s="32" t="s">
        <v>67</v>
      </c>
      <c r="C177" s="33" t="s">
        <v>31</v>
      </c>
      <c r="D177" s="33" t="s">
        <v>26</v>
      </c>
      <c r="E177" s="24" t="str">
        <f t="shared" si="26"/>
        <v>CS Fundamentals</v>
      </c>
      <c r="F177" s="24" t="str">
        <f t="shared" si="26"/>
        <v>IN_3</v>
      </c>
      <c r="G177" s="24" t="str">
        <f t="shared" si="26"/>
        <v>Practical</v>
      </c>
      <c r="H177" s="24" t="str">
        <f t="shared" si="20"/>
        <v>Offline</v>
      </c>
      <c r="I177" s="24">
        <v>0</v>
      </c>
      <c r="J177" s="24">
        <f t="shared" si="21"/>
        <v>0</v>
      </c>
      <c r="K177" s="35">
        <f t="shared" si="23"/>
        <v>0</v>
      </c>
      <c r="L177" s="24">
        <f t="shared" si="24"/>
        <v>0</v>
      </c>
      <c r="M177" s="41"/>
    </row>
    <row r="178" spans="1:13" s="34" customFormat="1" ht="15.75" customHeight="1" x14ac:dyDescent="0.3">
      <c r="A178" s="24" t="str">
        <f t="shared" si="22"/>
        <v>L021S018</v>
      </c>
      <c r="B178" s="32" t="s">
        <v>67</v>
      </c>
      <c r="C178" s="33" t="s">
        <v>25</v>
      </c>
      <c r="D178" s="33" t="s">
        <v>37</v>
      </c>
      <c r="E178" s="24" t="str">
        <f t="shared" si="26"/>
        <v>CS Fundamentals</v>
      </c>
      <c r="F178" s="24" t="str">
        <f t="shared" si="26"/>
        <v>IN_5</v>
      </c>
      <c r="G178" s="24" t="str">
        <f t="shared" si="26"/>
        <v>Practical</v>
      </c>
      <c r="H178" s="24" t="str">
        <f t="shared" si="20"/>
        <v>Online</v>
      </c>
      <c r="I178" s="24">
        <v>20</v>
      </c>
      <c r="J178" s="24">
        <f t="shared" si="21"/>
        <v>20</v>
      </c>
      <c r="K178" s="35">
        <f t="shared" si="23"/>
        <v>1</v>
      </c>
      <c r="L178" s="24">
        <f t="shared" si="24"/>
        <v>0.4</v>
      </c>
      <c r="M178" s="41"/>
    </row>
    <row r="179" spans="1:13" s="34" customFormat="1" ht="15.75" customHeight="1" x14ac:dyDescent="0.3">
      <c r="A179" s="24" t="str">
        <f t="shared" si="22"/>
        <v>L022S016</v>
      </c>
      <c r="B179" s="32" t="s">
        <v>68</v>
      </c>
      <c r="C179" s="33" t="s">
        <v>27</v>
      </c>
      <c r="D179" s="33" t="s">
        <v>26</v>
      </c>
      <c r="E179" s="24" t="str">
        <f t="shared" si="26"/>
        <v>Algebra Basics</v>
      </c>
      <c r="F179" s="24" t="str">
        <f t="shared" si="26"/>
        <v>IN_2</v>
      </c>
      <c r="G179" s="24" t="str">
        <f t="shared" si="26"/>
        <v>Workshop</v>
      </c>
      <c r="H179" s="24" t="str">
        <f t="shared" si="20"/>
        <v>Offline</v>
      </c>
      <c r="I179" s="24">
        <v>17</v>
      </c>
      <c r="J179" s="24">
        <f t="shared" si="21"/>
        <v>17</v>
      </c>
      <c r="K179" s="35">
        <f t="shared" si="23"/>
        <v>0.85</v>
      </c>
      <c r="L179" s="24">
        <f t="shared" si="24"/>
        <v>0.17</v>
      </c>
      <c r="M179" s="41"/>
    </row>
    <row r="180" spans="1:13" s="34" customFormat="1" ht="15.75" customHeight="1" x14ac:dyDescent="0.3">
      <c r="A180" s="24" t="str">
        <f t="shared" si="22"/>
        <v>L022S012</v>
      </c>
      <c r="B180" s="32" t="s">
        <v>68</v>
      </c>
      <c r="C180" s="33" t="s">
        <v>33</v>
      </c>
      <c r="D180" s="33" t="s">
        <v>26</v>
      </c>
      <c r="E180" s="24" t="str">
        <f t="shared" si="26"/>
        <v>Foundations of ML</v>
      </c>
      <c r="F180" s="24" t="str">
        <f t="shared" si="26"/>
        <v>IN_1</v>
      </c>
      <c r="G180" s="24" t="str">
        <f t="shared" si="26"/>
        <v>Workshop</v>
      </c>
      <c r="H180" s="24" t="str">
        <f t="shared" si="20"/>
        <v>Offline</v>
      </c>
      <c r="I180" s="24">
        <v>0</v>
      </c>
      <c r="J180" s="24">
        <f t="shared" si="21"/>
        <v>0</v>
      </c>
      <c r="K180" s="35">
        <f t="shared" si="23"/>
        <v>0</v>
      </c>
      <c r="L180" s="24">
        <f t="shared" si="24"/>
        <v>0</v>
      </c>
      <c r="M180" s="41"/>
    </row>
    <row r="181" spans="1:13" s="34" customFormat="1" ht="15.75" customHeight="1" x14ac:dyDescent="0.3">
      <c r="A181" s="24" t="str">
        <f t="shared" si="22"/>
        <v>L022S020</v>
      </c>
      <c r="B181" s="32" t="s">
        <v>68</v>
      </c>
      <c r="C181" s="33" t="s">
        <v>30</v>
      </c>
      <c r="D181" s="33" t="s">
        <v>26</v>
      </c>
      <c r="E181" s="24" t="str">
        <f t="shared" si="26"/>
        <v>Foundations of ML</v>
      </c>
      <c r="F181" s="24" t="str">
        <f t="shared" si="26"/>
        <v>IN_4</v>
      </c>
      <c r="G181" s="24" t="str">
        <f t="shared" si="26"/>
        <v>Workshop</v>
      </c>
      <c r="H181" s="24" t="str">
        <f t="shared" si="20"/>
        <v>Online</v>
      </c>
      <c r="I181" s="24">
        <v>13</v>
      </c>
      <c r="J181" s="24">
        <f t="shared" si="21"/>
        <v>13</v>
      </c>
      <c r="K181" s="35">
        <f t="shared" si="23"/>
        <v>0.65</v>
      </c>
      <c r="L181" s="24">
        <f t="shared" si="24"/>
        <v>0.13</v>
      </c>
      <c r="M181" s="41"/>
    </row>
    <row r="182" spans="1:13" s="34" customFormat="1" ht="15.75" customHeight="1" x14ac:dyDescent="0.3">
      <c r="A182" s="24" t="str">
        <f t="shared" si="22"/>
        <v>L022S006</v>
      </c>
      <c r="B182" s="32" t="s">
        <v>68</v>
      </c>
      <c r="C182" s="33" t="s">
        <v>40</v>
      </c>
      <c r="D182" s="33" t="s">
        <v>26</v>
      </c>
      <c r="E182" s="24" t="str">
        <f t="shared" si="26"/>
        <v>Communication</v>
      </c>
      <c r="F182" s="24" t="str">
        <f t="shared" si="26"/>
        <v>IN_6</v>
      </c>
      <c r="G182" s="24" t="str">
        <f t="shared" si="26"/>
        <v>Theory Session</v>
      </c>
      <c r="H182" s="24" t="str">
        <f t="shared" si="20"/>
        <v>Online</v>
      </c>
      <c r="I182" s="24">
        <v>0</v>
      </c>
      <c r="J182" s="24">
        <f t="shared" si="21"/>
        <v>0</v>
      </c>
      <c r="K182" s="35">
        <f t="shared" si="23"/>
        <v>0</v>
      </c>
      <c r="L182" s="24">
        <f t="shared" si="24"/>
        <v>0</v>
      </c>
      <c r="M182" s="41"/>
    </row>
    <row r="183" spans="1:13" s="34" customFormat="1" ht="15.75" customHeight="1" x14ac:dyDescent="0.3">
      <c r="A183" s="24" t="str">
        <f t="shared" si="22"/>
        <v>L022S009</v>
      </c>
      <c r="B183" s="32" t="s">
        <v>68</v>
      </c>
      <c r="C183" s="33" t="s">
        <v>45</v>
      </c>
      <c r="D183" s="33" t="s">
        <v>26</v>
      </c>
      <c r="E183" s="24" t="str">
        <f t="shared" ref="E183:G202" si="27">VLOOKUP($C183,session_details,E$1,FALSE)</f>
        <v>Communication</v>
      </c>
      <c r="F183" s="24" t="str">
        <f t="shared" si="27"/>
        <v>IN_6</v>
      </c>
      <c r="G183" s="24" t="str">
        <f t="shared" si="27"/>
        <v>Workshop</v>
      </c>
      <c r="H183" s="24" t="str">
        <f t="shared" si="20"/>
        <v>Offline</v>
      </c>
      <c r="I183" s="24">
        <v>14</v>
      </c>
      <c r="J183" s="24">
        <f t="shared" si="21"/>
        <v>14</v>
      </c>
      <c r="K183" s="35">
        <f t="shared" si="23"/>
        <v>0.7</v>
      </c>
      <c r="L183" s="24">
        <f t="shared" si="24"/>
        <v>0.13999999999999999</v>
      </c>
      <c r="M183" s="41"/>
    </row>
    <row r="184" spans="1:13" s="34" customFormat="1" ht="15.75" customHeight="1" x14ac:dyDescent="0.3">
      <c r="A184" s="24" t="str">
        <f t="shared" si="22"/>
        <v>L022S008</v>
      </c>
      <c r="B184" s="32" t="s">
        <v>68</v>
      </c>
      <c r="C184" s="33" t="s">
        <v>32</v>
      </c>
      <c r="D184" s="33" t="s">
        <v>26</v>
      </c>
      <c r="E184" s="24" t="str">
        <f t="shared" si="27"/>
        <v>CS Fundamentals</v>
      </c>
      <c r="F184" s="24" t="str">
        <f t="shared" si="27"/>
        <v>IN_2</v>
      </c>
      <c r="G184" s="24" t="str">
        <f t="shared" si="27"/>
        <v>Practical</v>
      </c>
      <c r="H184" s="24" t="str">
        <f t="shared" si="20"/>
        <v>Online</v>
      </c>
      <c r="I184" s="24">
        <v>0</v>
      </c>
      <c r="J184" s="24">
        <f t="shared" si="21"/>
        <v>0</v>
      </c>
      <c r="K184" s="35">
        <f t="shared" si="23"/>
        <v>0</v>
      </c>
      <c r="L184" s="24">
        <f t="shared" si="24"/>
        <v>0</v>
      </c>
      <c r="M184" s="41"/>
    </row>
    <row r="185" spans="1:13" s="34" customFormat="1" ht="15.75" customHeight="1" x14ac:dyDescent="0.3">
      <c r="A185" s="24" t="str">
        <f t="shared" si="22"/>
        <v>L022S013</v>
      </c>
      <c r="B185" s="32" t="s">
        <v>68</v>
      </c>
      <c r="C185" s="33" t="s">
        <v>44</v>
      </c>
      <c r="D185" s="33" t="s">
        <v>26</v>
      </c>
      <c r="E185" s="24" t="str">
        <f t="shared" si="27"/>
        <v>Algebra Basics</v>
      </c>
      <c r="F185" s="24" t="str">
        <f t="shared" si="27"/>
        <v>IN_3</v>
      </c>
      <c r="G185" s="24" t="str">
        <f t="shared" si="27"/>
        <v>Workshop</v>
      </c>
      <c r="H185" s="24" t="str">
        <f t="shared" si="20"/>
        <v>Offline</v>
      </c>
      <c r="I185" s="24">
        <v>4</v>
      </c>
      <c r="J185" s="24">
        <f t="shared" si="21"/>
        <v>4</v>
      </c>
      <c r="K185" s="35">
        <f t="shared" si="23"/>
        <v>0.2</v>
      </c>
      <c r="L185" s="24">
        <f t="shared" si="24"/>
        <v>4.0000000000000008E-2</v>
      </c>
      <c r="M185" s="41"/>
    </row>
    <row r="186" spans="1:13" s="34" customFormat="1" ht="15.75" customHeight="1" x14ac:dyDescent="0.3">
      <c r="A186" s="24" t="str">
        <f t="shared" si="22"/>
        <v>L022S011</v>
      </c>
      <c r="B186" s="32" t="s">
        <v>68</v>
      </c>
      <c r="C186" s="33" t="s">
        <v>39</v>
      </c>
      <c r="D186" s="33" t="s">
        <v>29</v>
      </c>
      <c r="E186" s="24" t="str">
        <f t="shared" si="27"/>
        <v>Algebra Basics</v>
      </c>
      <c r="F186" s="24" t="str">
        <f t="shared" si="27"/>
        <v>IN_4</v>
      </c>
      <c r="G186" s="24" t="str">
        <f t="shared" si="27"/>
        <v>Theory Session</v>
      </c>
      <c r="H186" s="24" t="str">
        <f t="shared" si="20"/>
        <v>Online</v>
      </c>
      <c r="I186" s="24">
        <v>17</v>
      </c>
      <c r="J186" s="24">
        <f t="shared" si="21"/>
        <v>12</v>
      </c>
      <c r="K186" s="35">
        <f t="shared" si="23"/>
        <v>0.6</v>
      </c>
      <c r="L186" s="24">
        <f t="shared" si="24"/>
        <v>0.24</v>
      </c>
      <c r="M186" s="41"/>
    </row>
    <row r="187" spans="1:13" s="34" customFormat="1" ht="15.75" customHeight="1" x14ac:dyDescent="0.3">
      <c r="A187" s="24" t="str">
        <f t="shared" si="22"/>
        <v>L022S001</v>
      </c>
      <c r="B187" s="32" t="s">
        <v>68</v>
      </c>
      <c r="C187" s="33" t="s">
        <v>43</v>
      </c>
      <c r="D187" s="33" t="s">
        <v>29</v>
      </c>
      <c r="E187" s="24" t="str">
        <f t="shared" si="27"/>
        <v>CS Fundamentals</v>
      </c>
      <c r="F187" s="24" t="str">
        <f t="shared" si="27"/>
        <v>IN_2</v>
      </c>
      <c r="G187" s="24" t="str">
        <f t="shared" si="27"/>
        <v>Theory Session</v>
      </c>
      <c r="H187" s="24" t="str">
        <f t="shared" si="20"/>
        <v>Online</v>
      </c>
      <c r="I187" s="24">
        <v>16</v>
      </c>
      <c r="J187" s="24">
        <f t="shared" si="21"/>
        <v>11</v>
      </c>
      <c r="K187" s="35">
        <f t="shared" si="23"/>
        <v>0.55000000000000004</v>
      </c>
      <c r="L187" s="24">
        <f t="shared" si="24"/>
        <v>0.22000000000000003</v>
      </c>
      <c r="M187" s="41"/>
    </row>
    <row r="188" spans="1:13" s="34" customFormat="1" ht="15.75" customHeight="1" x14ac:dyDescent="0.3">
      <c r="A188" s="24" t="str">
        <f t="shared" si="22"/>
        <v>L023S009</v>
      </c>
      <c r="B188" s="32" t="s">
        <v>69</v>
      </c>
      <c r="C188" s="33" t="s">
        <v>45</v>
      </c>
      <c r="D188" s="33" t="s">
        <v>37</v>
      </c>
      <c r="E188" s="24" t="str">
        <f t="shared" si="27"/>
        <v>Communication</v>
      </c>
      <c r="F188" s="24" t="str">
        <f t="shared" si="27"/>
        <v>IN_6</v>
      </c>
      <c r="G188" s="24" t="str">
        <f t="shared" si="27"/>
        <v>Workshop</v>
      </c>
      <c r="H188" s="24" t="str">
        <f t="shared" si="20"/>
        <v>Offline</v>
      </c>
      <c r="I188" s="24">
        <v>6</v>
      </c>
      <c r="J188" s="24">
        <f t="shared" si="21"/>
        <v>6</v>
      </c>
      <c r="K188" s="35">
        <f t="shared" si="23"/>
        <v>0.3</v>
      </c>
      <c r="L188" s="24">
        <f t="shared" si="24"/>
        <v>0.06</v>
      </c>
      <c r="M188" s="41"/>
    </row>
    <row r="189" spans="1:13" s="34" customFormat="1" ht="15.75" customHeight="1" x14ac:dyDescent="0.3">
      <c r="A189" s="24" t="str">
        <f t="shared" si="22"/>
        <v>L023S014</v>
      </c>
      <c r="B189" s="32" t="s">
        <v>69</v>
      </c>
      <c r="C189" s="33" t="s">
        <v>46</v>
      </c>
      <c r="D189" s="33" t="s">
        <v>26</v>
      </c>
      <c r="E189" s="24" t="str">
        <f t="shared" si="27"/>
        <v>Foundations of ML</v>
      </c>
      <c r="F189" s="24" t="str">
        <f t="shared" si="27"/>
        <v>IN_2</v>
      </c>
      <c r="G189" s="24" t="str">
        <f t="shared" si="27"/>
        <v>Theory Session</v>
      </c>
      <c r="H189" s="24" t="str">
        <f t="shared" si="20"/>
        <v>Online</v>
      </c>
      <c r="I189" s="24">
        <v>0</v>
      </c>
      <c r="J189" s="24">
        <f t="shared" si="21"/>
        <v>0</v>
      </c>
      <c r="K189" s="35">
        <f t="shared" si="23"/>
        <v>0</v>
      </c>
      <c r="L189" s="24">
        <f t="shared" si="24"/>
        <v>0</v>
      </c>
      <c r="M189" s="41"/>
    </row>
    <row r="190" spans="1:13" s="34" customFormat="1" ht="15.75" customHeight="1" x14ac:dyDescent="0.3">
      <c r="A190" s="24" t="str">
        <f t="shared" si="22"/>
        <v>L023S010</v>
      </c>
      <c r="B190" s="32" t="s">
        <v>69</v>
      </c>
      <c r="C190" s="33" t="s">
        <v>34</v>
      </c>
      <c r="D190" s="33" t="s">
        <v>26</v>
      </c>
      <c r="E190" s="24" t="str">
        <f t="shared" si="27"/>
        <v>Foundations of ML</v>
      </c>
      <c r="F190" s="24" t="str">
        <f t="shared" si="27"/>
        <v>IN_6</v>
      </c>
      <c r="G190" s="24" t="str">
        <f t="shared" si="27"/>
        <v>Theory Session</v>
      </c>
      <c r="H190" s="24" t="str">
        <f t="shared" si="20"/>
        <v>Offline</v>
      </c>
      <c r="I190" s="24">
        <v>4</v>
      </c>
      <c r="J190" s="24">
        <f t="shared" si="21"/>
        <v>4</v>
      </c>
      <c r="K190" s="35">
        <f t="shared" si="23"/>
        <v>0.2</v>
      </c>
      <c r="L190" s="24">
        <f t="shared" si="24"/>
        <v>8.0000000000000016E-2</v>
      </c>
      <c r="M190" s="41"/>
    </row>
    <row r="191" spans="1:13" s="34" customFormat="1" ht="15.75" customHeight="1" x14ac:dyDescent="0.3">
      <c r="A191" s="24" t="str">
        <f t="shared" si="22"/>
        <v>L023S001</v>
      </c>
      <c r="B191" s="32" t="s">
        <v>69</v>
      </c>
      <c r="C191" s="33" t="s">
        <v>43</v>
      </c>
      <c r="D191" s="33" t="s">
        <v>26</v>
      </c>
      <c r="E191" s="24" t="str">
        <f t="shared" si="27"/>
        <v>CS Fundamentals</v>
      </c>
      <c r="F191" s="24" t="str">
        <f t="shared" si="27"/>
        <v>IN_2</v>
      </c>
      <c r="G191" s="24" t="str">
        <f t="shared" si="27"/>
        <v>Theory Session</v>
      </c>
      <c r="H191" s="24" t="str">
        <f t="shared" si="20"/>
        <v>Online</v>
      </c>
      <c r="I191" s="24">
        <v>0</v>
      </c>
      <c r="J191" s="24">
        <f t="shared" si="21"/>
        <v>0</v>
      </c>
      <c r="K191" s="35">
        <f t="shared" si="23"/>
        <v>0</v>
      </c>
      <c r="L191" s="24">
        <f t="shared" si="24"/>
        <v>0</v>
      </c>
      <c r="M191" s="41"/>
    </row>
    <row r="192" spans="1:13" s="34" customFormat="1" ht="15.75" customHeight="1" x14ac:dyDescent="0.3">
      <c r="A192" s="24" t="str">
        <f t="shared" si="22"/>
        <v>L023S019</v>
      </c>
      <c r="B192" s="32" t="s">
        <v>69</v>
      </c>
      <c r="C192" s="33" t="s">
        <v>38</v>
      </c>
      <c r="D192" s="33" t="s">
        <v>26</v>
      </c>
      <c r="E192" s="24" t="str">
        <f t="shared" si="27"/>
        <v>CS Fundamentals</v>
      </c>
      <c r="F192" s="24" t="str">
        <f t="shared" si="27"/>
        <v>IN_6</v>
      </c>
      <c r="G192" s="24" t="str">
        <f t="shared" si="27"/>
        <v>Workshop</v>
      </c>
      <c r="H192" s="24" t="str">
        <f t="shared" si="20"/>
        <v>Offline</v>
      </c>
      <c r="I192" s="24">
        <v>0</v>
      </c>
      <c r="J192" s="24">
        <f t="shared" si="21"/>
        <v>0</v>
      </c>
      <c r="K192" s="35">
        <f t="shared" si="23"/>
        <v>0</v>
      </c>
      <c r="L192" s="24">
        <f t="shared" si="24"/>
        <v>0</v>
      </c>
      <c r="M192" s="41"/>
    </row>
    <row r="193" spans="1:13" s="34" customFormat="1" ht="15.75" customHeight="1" x14ac:dyDescent="0.3">
      <c r="A193" s="24" t="str">
        <f t="shared" si="22"/>
        <v>L023S011</v>
      </c>
      <c r="B193" s="32" t="s">
        <v>69</v>
      </c>
      <c r="C193" s="33" t="s">
        <v>39</v>
      </c>
      <c r="D193" s="33" t="s">
        <v>26</v>
      </c>
      <c r="E193" s="24" t="str">
        <f t="shared" si="27"/>
        <v>Algebra Basics</v>
      </c>
      <c r="F193" s="24" t="str">
        <f t="shared" si="27"/>
        <v>IN_4</v>
      </c>
      <c r="G193" s="24" t="str">
        <f t="shared" si="27"/>
        <v>Theory Session</v>
      </c>
      <c r="H193" s="24" t="str">
        <f t="shared" si="20"/>
        <v>Online</v>
      </c>
      <c r="I193" s="24">
        <v>0</v>
      </c>
      <c r="J193" s="24">
        <f t="shared" si="21"/>
        <v>0</v>
      </c>
      <c r="K193" s="35">
        <f t="shared" si="23"/>
        <v>0</v>
      </c>
      <c r="L193" s="24">
        <f t="shared" si="24"/>
        <v>0</v>
      </c>
      <c r="M193" s="41"/>
    </row>
    <row r="194" spans="1:13" s="34" customFormat="1" ht="15.75" customHeight="1" x14ac:dyDescent="0.3">
      <c r="A194" s="24" t="str">
        <f t="shared" si="22"/>
        <v>L023S002</v>
      </c>
      <c r="B194" s="32" t="s">
        <v>69</v>
      </c>
      <c r="C194" s="33" t="s">
        <v>31</v>
      </c>
      <c r="D194" s="33" t="s">
        <v>29</v>
      </c>
      <c r="E194" s="24" t="str">
        <f t="shared" si="27"/>
        <v>CS Fundamentals</v>
      </c>
      <c r="F194" s="24" t="str">
        <f t="shared" si="27"/>
        <v>IN_3</v>
      </c>
      <c r="G194" s="24" t="str">
        <f t="shared" si="27"/>
        <v>Practical</v>
      </c>
      <c r="H194" s="24" t="str">
        <f t="shared" si="20"/>
        <v>Offline</v>
      </c>
      <c r="I194" s="24">
        <v>5</v>
      </c>
      <c r="J194" s="24">
        <f t="shared" si="21"/>
        <v>0</v>
      </c>
      <c r="K194" s="35">
        <f t="shared" si="23"/>
        <v>0</v>
      </c>
      <c r="L194" s="24">
        <f t="shared" si="24"/>
        <v>0</v>
      </c>
      <c r="M194" s="41"/>
    </row>
    <row r="195" spans="1:13" s="34" customFormat="1" ht="15.75" customHeight="1" x14ac:dyDescent="0.3">
      <c r="A195" s="24" t="str">
        <f t="shared" si="22"/>
        <v>L023S003</v>
      </c>
      <c r="B195" s="32" t="s">
        <v>69</v>
      </c>
      <c r="C195" s="33" t="s">
        <v>50</v>
      </c>
      <c r="D195" s="33" t="s">
        <v>26</v>
      </c>
      <c r="E195" s="24" t="str">
        <f t="shared" si="27"/>
        <v>Algebra Basics</v>
      </c>
      <c r="F195" s="24" t="str">
        <f t="shared" si="27"/>
        <v>IN_7</v>
      </c>
      <c r="G195" s="24" t="str">
        <f t="shared" si="27"/>
        <v>Workshop</v>
      </c>
      <c r="H195" s="24" t="str">
        <f t="shared" ref="H195:H258" si="28">VLOOKUP($C195,Session_mode,H$1,FALSE)</f>
        <v>Offline</v>
      </c>
      <c r="I195" s="24">
        <v>0</v>
      </c>
      <c r="J195" s="24">
        <f t="shared" ref="J195:J258" si="29">IF(D195="Present", I195, IF(AND(D195="Absent", I195&lt;&gt;0), I195-5, I195))</f>
        <v>0</v>
      </c>
      <c r="K195" s="35">
        <f t="shared" si="23"/>
        <v>0</v>
      </c>
      <c r="L195" s="24">
        <f t="shared" si="24"/>
        <v>0</v>
      </c>
      <c r="M195" s="41"/>
    </row>
    <row r="196" spans="1:13" s="34" customFormat="1" ht="15.75" customHeight="1" x14ac:dyDescent="0.3">
      <c r="A196" s="24" t="str">
        <f t="shared" ref="A196:A259" si="30">B196&amp;C196</f>
        <v>L023S007</v>
      </c>
      <c r="B196" s="32" t="s">
        <v>69</v>
      </c>
      <c r="C196" s="33" t="s">
        <v>35</v>
      </c>
      <c r="D196" s="33" t="s">
        <v>29</v>
      </c>
      <c r="E196" s="24" t="str">
        <f t="shared" si="27"/>
        <v>Communication</v>
      </c>
      <c r="F196" s="24" t="str">
        <f t="shared" si="27"/>
        <v>IN_1</v>
      </c>
      <c r="G196" s="24" t="str">
        <f t="shared" si="27"/>
        <v>Practical</v>
      </c>
      <c r="H196" s="24" t="str">
        <f t="shared" si="28"/>
        <v>Offline</v>
      </c>
      <c r="I196" s="24">
        <v>19</v>
      </c>
      <c r="J196" s="24">
        <f t="shared" si="29"/>
        <v>14</v>
      </c>
      <c r="K196" s="35">
        <f t="shared" ref="K196:K259" si="31">J196/20</f>
        <v>0.7</v>
      </c>
      <c r="L196" s="24">
        <f t="shared" ref="L196:L259" si="32">IF(G196="Theory Session", K196*0.4,
 IF(G196="Practical",       K196*0.4,
 IF(G196="Workshop",        K196*0.2,
 0)))</f>
        <v>0.27999999999999997</v>
      </c>
      <c r="M196" s="41"/>
    </row>
    <row r="197" spans="1:13" s="34" customFormat="1" ht="15.75" customHeight="1" x14ac:dyDescent="0.3">
      <c r="A197" s="24" t="str">
        <f t="shared" si="30"/>
        <v>L024S008</v>
      </c>
      <c r="B197" s="32" t="s">
        <v>70</v>
      </c>
      <c r="C197" s="33" t="s">
        <v>32</v>
      </c>
      <c r="D197" s="33" t="s">
        <v>26</v>
      </c>
      <c r="E197" s="24" t="str">
        <f t="shared" si="27"/>
        <v>CS Fundamentals</v>
      </c>
      <c r="F197" s="24" t="str">
        <f t="shared" si="27"/>
        <v>IN_2</v>
      </c>
      <c r="G197" s="24" t="str">
        <f t="shared" si="27"/>
        <v>Practical</v>
      </c>
      <c r="H197" s="24" t="str">
        <f t="shared" si="28"/>
        <v>Online</v>
      </c>
      <c r="I197" s="24">
        <v>0</v>
      </c>
      <c r="J197" s="24">
        <f t="shared" si="29"/>
        <v>0</v>
      </c>
      <c r="K197" s="35">
        <f t="shared" si="31"/>
        <v>0</v>
      </c>
      <c r="L197" s="24">
        <f t="shared" si="32"/>
        <v>0</v>
      </c>
      <c r="M197" s="41"/>
    </row>
    <row r="198" spans="1:13" s="34" customFormat="1" ht="15.75" customHeight="1" x14ac:dyDescent="0.3">
      <c r="A198" s="24" t="str">
        <f t="shared" si="30"/>
        <v>L024S003</v>
      </c>
      <c r="B198" s="32" t="s">
        <v>70</v>
      </c>
      <c r="C198" s="33" t="s">
        <v>50</v>
      </c>
      <c r="D198" s="33" t="s">
        <v>29</v>
      </c>
      <c r="E198" s="24" t="str">
        <f t="shared" si="27"/>
        <v>Algebra Basics</v>
      </c>
      <c r="F198" s="24" t="str">
        <f t="shared" si="27"/>
        <v>IN_7</v>
      </c>
      <c r="G198" s="24" t="str">
        <f t="shared" si="27"/>
        <v>Workshop</v>
      </c>
      <c r="H198" s="24" t="str">
        <f t="shared" si="28"/>
        <v>Offline</v>
      </c>
      <c r="I198" s="24">
        <v>5</v>
      </c>
      <c r="J198" s="24">
        <f t="shared" si="29"/>
        <v>0</v>
      </c>
      <c r="K198" s="35">
        <f t="shared" si="31"/>
        <v>0</v>
      </c>
      <c r="L198" s="24">
        <f t="shared" si="32"/>
        <v>0</v>
      </c>
      <c r="M198" s="41"/>
    </row>
    <row r="199" spans="1:13" s="34" customFormat="1" ht="15.75" customHeight="1" x14ac:dyDescent="0.3">
      <c r="A199" s="24" t="str">
        <f t="shared" si="30"/>
        <v>L024S001</v>
      </c>
      <c r="B199" s="32" t="s">
        <v>70</v>
      </c>
      <c r="C199" s="33" t="s">
        <v>43</v>
      </c>
      <c r="D199" s="33" t="s">
        <v>26</v>
      </c>
      <c r="E199" s="24" t="str">
        <f t="shared" si="27"/>
        <v>CS Fundamentals</v>
      </c>
      <c r="F199" s="24" t="str">
        <f t="shared" si="27"/>
        <v>IN_2</v>
      </c>
      <c r="G199" s="24" t="str">
        <f t="shared" si="27"/>
        <v>Theory Session</v>
      </c>
      <c r="H199" s="24" t="str">
        <f t="shared" si="28"/>
        <v>Online</v>
      </c>
      <c r="I199" s="24">
        <v>15</v>
      </c>
      <c r="J199" s="24">
        <f t="shared" si="29"/>
        <v>15</v>
      </c>
      <c r="K199" s="35">
        <f t="shared" si="31"/>
        <v>0.75</v>
      </c>
      <c r="L199" s="24">
        <f t="shared" si="32"/>
        <v>0.30000000000000004</v>
      </c>
      <c r="M199" s="41"/>
    </row>
    <row r="200" spans="1:13" s="34" customFormat="1" ht="15.75" customHeight="1" x14ac:dyDescent="0.3">
      <c r="A200" s="24" t="str">
        <f t="shared" si="30"/>
        <v>L024S014</v>
      </c>
      <c r="B200" s="32" t="s">
        <v>70</v>
      </c>
      <c r="C200" s="33" t="s">
        <v>46</v>
      </c>
      <c r="D200" s="33" t="s">
        <v>26</v>
      </c>
      <c r="E200" s="24" t="str">
        <f t="shared" si="27"/>
        <v>Foundations of ML</v>
      </c>
      <c r="F200" s="24" t="str">
        <f t="shared" si="27"/>
        <v>IN_2</v>
      </c>
      <c r="G200" s="24" t="str">
        <f t="shared" si="27"/>
        <v>Theory Session</v>
      </c>
      <c r="H200" s="24" t="str">
        <f t="shared" si="28"/>
        <v>Online</v>
      </c>
      <c r="I200" s="24">
        <v>11</v>
      </c>
      <c r="J200" s="24">
        <f t="shared" si="29"/>
        <v>11</v>
      </c>
      <c r="K200" s="35">
        <f t="shared" si="31"/>
        <v>0.55000000000000004</v>
      </c>
      <c r="L200" s="24">
        <f t="shared" si="32"/>
        <v>0.22000000000000003</v>
      </c>
      <c r="M200" s="41"/>
    </row>
    <row r="201" spans="1:13" s="34" customFormat="1" ht="15.75" customHeight="1" x14ac:dyDescent="0.3">
      <c r="A201" s="24" t="str">
        <f t="shared" si="30"/>
        <v>L024S002</v>
      </c>
      <c r="B201" s="32" t="s">
        <v>70</v>
      </c>
      <c r="C201" s="33" t="s">
        <v>31</v>
      </c>
      <c r="D201" s="33" t="s">
        <v>37</v>
      </c>
      <c r="E201" s="24" t="str">
        <f t="shared" si="27"/>
        <v>CS Fundamentals</v>
      </c>
      <c r="F201" s="24" t="str">
        <f t="shared" si="27"/>
        <v>IN_3</v>
      </c>
      <c r="G201" s="24" t="str">
        <f t="shared" si="27"/>
        <v>Practical</v>
      </c>
      <c r="H201" s="24" t="str">
        <f t="shared" si="28"/>
        <v>Offline</v>
      </c>
      <c r="I201" s="24">
        <v>9</v>
      </c>
      <c r="J201" s="24">
        <f t="shared" si="29"/>
        <v>9</v>
      </c>
      <c r="K201" s="35">
        <f t="shared" si="31"/>
        <v>0.45</v>
      </c>
      <c r="L201" s="24">
        <f t="shared" si="32"/>
        <v>0.18000000000000002</v>
      </c>
      <c r="M201" s="41"/>
    </row>
    <row r="202" spans="1:13" s="34" customFormat="1" ht="15.75" customHeight="1" x14ac:dyDescent="0.3">
      <c r="A202" s="24" t="str">
        <f t="shared" si="30"/>
        <v>L024S007</v>
      </c>
      <c r="B202" s="32" t="s">
        <v>70</v>
      </c>
      <c r="C202" s="33" t="s">
        <v>35</v>
      </c>
      <c r="D202" s="33" t="s">
        <v>26</v>
      </c>
      <c r="E202" s="24" t="str">
        <f t="shared" si="27"/>
        <v>Communication</v>
      </c>
      <c r="F202" s="24" t="str">
        <f t="shared" si="27"/>
        <v>IN_1</v>
      </c>
      <c r="G202" s="24" t="str">
        <f t="shared" si="27"/>
        <v>Practical</v>
      </c>
      <c r="H202" s="24" t="str">
        <f t="shared" si="28"/>
        <v>Offline</v>
      </c>
      <c r="I202" s="24">
        <v>0</v>
      </c>
      <c r="J202" s="24">
        <f t="shared" si="29"/>
        <v>0</v>
      </c>
      <c r="K202" s="35">
        <f t="shared" si="31"/>
        <v>0</v>
      </c>
      <c r="L202" s="24">
        <f t="shared" si="32"/>
        <v>0</v>
      </c>
      <c r="M202" s="41"/>
    </row>
    <row r="203" spans="1:13" s="34" customFormat="1" ht="15.75" customHeight="1" x14ac:dyDescent="0.3">
      <c r="A203" s="24" t="str">
        <f t="shared" si="30"/>
        <v>L024S017</v>
      </c>
      <c r="B203" s="32" t="s">
        <v>70</v>
      </c>
      <c r="C203" s="33" t="s">
        <v>28</v>
      </c>
      <c r="D203" s="33" t="s">
        <v>26</v>
      </c>
      <c r="E203" s="24" t="str">
        <f t="shared" ref="E203:G222" si="33">VLOOKUP($C203,session_details,E$1,FALSE)</f>
        <v>Communication</v>
      </c>
      <c r="F203" s="24" t="str">
        <f t="shared" si="33"/>
        <v>IN_7</v>
      </c>
      <c r="G203" s="24" t="str">
        <f t="shared" si="33"/>
        <v>Practical</v>
      </c>
      <c r="H203" s="24" t="str">
        <f t="shared" si="28"/>
        <v>Offline</v>
      </c>
      <c r="I203" s="24">
        <v>5</v>
      </c>
      <c r="J203" s="24">
        <f t="shared" si="29"/>
        <v>5</v>
      </c>
      <c r="K203" s="35">
        <f t="shared" si="31"/>
        <v>0.25</v>
      </c>
      <c r="L203" s="24">
        <f t="shared" si="32"/>
        <v>0.1</v>
      </c>
      <c r="M203" s="41"/>
    </row>
    <row r="204" spans="1:13" s="34" customFormat="1" ht="15.75" customHeight="1" x14ac:dyDescent="0.3">
      <c r="A204" s="24" t="str">
        <f t="shared" si="30"/>
        <v>L025S015</v>
      </c>
      <c r="B204" s="32" t="s">
        <v>71</v>
      </c>
      <c r="C204" s="33" t="s">
        <v>41</v>
      </c>
      <c r="D204" s="33" t="s">
        <v>26</v>
      </c>
      <c r="E204" s="24" t="str">
        <f t="shared" si="33"/>
        <v>Foundations of ML</v>
      </c>
      <c r="F204" s="24" t="str">
        <f t="shared" si="33"/>
        <v>IN_4</v>
      </c>
      <c r="G204" s="24" t="str">
        <f t="shared" si="33"/>
        <v>Practical</v>
      </c>
      <c r="H204" s="24" t="str">
        <f t="shared" si="28"/>
        <v>Offline</v>
      </c>
      <c r="I204" s="24">
        <v>0</v>
      </c>
      <c r="J204" s="24">
        <f t="shared" si="29"/>
        <v>0</v>
      </c>
      <c r="K204" s="35">
        <f t="shared" si="31"/>
        <v>0</v>
      </c>
      <c r="L204" s="24">
        <f t="shared" si="32"/>
        <v>0</v>
      </c>
      <c r="M204" s="41"/>
    </row>
    <row r="205" spans="1:13" s="34" customFormat="1" ht="15.75" customHeight="1" x14ac:dyDescent="0.3">
      <c r="A205" s="24" t="str">
        <f t="shared" si="30"/>
        <v>L025S018</v>
      </c>
      <c r="B205" s="32" t="s">
        <v>71</v>
      </c>
      <c r="C205" s="33" t="s">
        <v>25</v>
      </c>
      <c r="D205" s="33" t="s">
        <v>29</v>
      </c>
      <c r="E205" s="24" t="str">
        <f t="shared" si="33"/>
        <v>CS Fundamentals</v>
      </c>
      <c r="F205" s="24" t="str">
        <f t="shared" si="33"/>
        <v>IN_5</v>
      </c>
      <c r="G205" s="24" t="str">
        <f t="shared" si="33"/>
        <v>Practical</v>
      </c>
      <c r="H205" s="24" t="str">
        <f t="shared" si="28"/>
        <v>Online</v>
      </c>
      <c r="I205" s="24">
        <v>0</v>
      </c>
      <c r="J205" s="24">
        <f t="shared" si="29"/>
        <v>0</v>
      </c>
      <c r="K205" s="35">
        <f t="shared" si="31"/>
        <v>0</v>
      </c>
      <c r="L205" s="24">
        <f t="shared" si="32"/>
        <v>0</v>
      </c>
      <c r="M205" s="41"/>
    </row>
    <row r="206" spans="1:13" s="34" customFormat="1" ht="15.75" customHeight="1" x14ac:dyDescent="0.3">
      <c r="A206" s="24" t="str">
        <f t="shared" si="30"/>
        <v>L025S011</v>
      </c>
      <c r="B206" s="32" t="s">
        <v>71</v>
      </c>
      <c r="C206" s="33" t="s">
        <v>39</v>
      </c>
      <c r="D206" s="33" t="s">
        <v>26</v>
      </c>
      <c r="E206" s="24" t="str">
        <f t="shared" si="33"/>
        <v>Algebra Basics</v>
      </c>
      <c r="F206" s="24" t="str">
        <f t="shared" si="33"/>
        <v>IN_4</v>
      </c>
      <c r="G206" s="24" t="str">
        <f t="shared" si="33"/>
        <v>Theory Session</v>
      </c>
      <c r="H206" s="24" t="str">
        <f t="shared" si="28"/>
        <v>Online</v>
      </c>
      <c r="I206" s="24">
        <v>12</v>
      </c>
      <c r="J206" s="24">
        <f t="shared" si="29"/>
        <v>12</v>
      </c>
      <c r="K206" s="35">
        <f t="shared" si="31"/>
        <v>0.6</v>
      </c>
      <c r="L206" s="24">
        <f t="shared" si="32"/>
        <v>0.24</v>
      </c>
      <c r="M206" s="41"/>
    </row>
    <row r="207" spans="1:13" s="34" customFormat="1" ht="15.75" customHeight="1" x14ac:dyDescent="0.3">
      <c r="A207" s="24" t="str">
        <f t="shared" si="30"/>
        <v>L025S004</v>
      </c>
      <c r="B207" s="32" t="s">
        <v>71</v>
      </c>
      <c r="C207" s="33" t="s">
        <v>47</v>
      </c>
      <c r="D207" s="33" t="s">
        <v>26</v>
      </c>
      <c r="E207" s="24" t="str">
        <f t="shared" si="33"/>
        <v>Foundations of ML</v>
      </c>
      <c r="F207" s="24" t="str">
        <f t="shared" si="33"/>
        <v>IN_4</v>
      </c>
      <c r="G207" s="24" t="str">
        <f t="shared" si="33"/>
        <v>Workshop</v>
      </c>
      <c r="H207" s="24" t="str">
        <f t="shared" si="28"/>
        <v>Online</v>
      </c>
      <c r="I207" s="24">
        <v>0</v>
      </c>
      <c r="J207" s="24">
        <f t="shared" si="29"/>
        <v>0</v>
      </c>
      <c r="K207" s="35">
        <f t="shared" si="31"/>
        <v>0</v>
      </c>
      <c r="L207" s="24">
        <f t="shared" si="32"/>
        <v>0</v>
      </c>
      <c r="M207" s="41"/>
    </row>
    <row r="208" spans="1:13" s="34" customFormat="1" ht="15.75" customHeight="1" x14ac:dyDescent="0.3">
      <c r="A208" s="24" t="str">
        <f t="shared" si="30"/>
        <v>L025S013</v>
      </c>
      <c r="B208" s="32" t="s">
        <v>71</v>
      </c>
      <c r="C208" s="33" t="s">
        <v>44</v>
      </c>
      <c r="D208" s="33" t="s">
        <v>26</v>
      </c>
      <c r="E208" s="24" t="str">
        <f t="shared" si="33"/>
        <v>Algebra Basics</v>
      </c>
      <c r="F208" s="24" t="str">
        <f t="shared" si="33"/>
        <v>IN_3</v>
      </c>
      <c r="G208" s="24" t="str">
        <f t="shared" si="33"/>
        <v>Workshop</v>
      </c>
      <c r="H208" s="24" t="str">
        <f t="shared" si="28"/>
        <v>Offline</v>
      </c>
      <c r="I208" s="24">
        <v>0</v>
      </c>
      <c r="J208" s="24">
        <f t="shared" si="29"/>
        <v>0</v>
      </c>
      <c r="K208" s="35">
        <f t="shared" si="31"/>
        <v>0</v>
      </c>
      <c r="L208" s="24">
        <f t="shared" si="32"/>
        <v>0</v>
      </c>
      <c r="M208" s="41"/>
    </row>
    <row r="209" spans="1:13" s="34" customFormat="1" ht="15.75" customHeight="1" x14ac:dyDescent="0.3">
      <c r="A209" s="24" t="str">
        <f t="shared" si="30"/>
        <v>L025S005</v>
      </c>
      <c r="B209" s="32" t="s">
        <v>71</v>
      </c>
      <c r="C209" s="33" t="s">
        <v>36</v>
      </c>
      <c r="D209" s="33" t="s">
        <v>29</v>
      </c>
      <c r="E209" s="24" t="str">
        <f t="shared" si="33"/>
        <v>Algebra Basics</v>
      </c>
      <c r="F209" s="24" t="str">
        <f t="shared" si="33"/>
        <v>IN_4</v>
      </c>
      <c r="G209" s="24" t="str">
        <f t="shared" si="33"/>
        <v>Workshop</v>
      </c>
      <c r="H209" s="24" t="str">
        <f t="shared" si="28"/>
        <v>Online</v>
      </c>
      <c r="I209" s="24">
        <v>0</v>
      </c>
      <c r="J209" s="24">
        <f t="shared" si="29"/>
        <v>0</v>
      </c>
      <c r="K209" s="35">
        <f t="shared" si="31"/>
        <v>0</v>
      </c>
      <c r="L209" s="24">
        <f t="shared" si="32"/>
        <v>0</v>
      </c>
      <c r="M209" s="41"/>
    </row>
    <row r="210" spans="1:13" s="34" customFormat="1" ht="15.75" customHeight="1" x14ac:dyDescent="0.3">
      <c r="A210" s="24" t="str">
        <f t="shared" si="30"/>
        <v>L025S017</v>
      </c>
      <c r="B210" s="32" t="s">
        <v>71</v>
      </c>
      <c r="C210" s="33" t="s">
        <v>28</v>
      </c>
      <c r="D210" s="33" t="s">
        <v>29</v>
      </c>
      <c r="E210" s="24" t="str">
        <f t="shared" si="33"/>
        <v>Communication</v>
      </c>
      <c r="F210" s="24" t="str">
        <f t="shared" si="33"/>
        <v>IN_7</v>
      </c>
      <c r="G210" s="24" t="str">
        <f t="shared" si="33"/>
        <v>Practical</v>
      </c>
      <c r="H210" s="24" t="str">
        <f t="shared" si="28"/>
        <v>Offline</v>
      </c>
      <c r="I210" s="24">
        <v>0</v>
      </c>
      <c r="J210" s="24">
        <f t="shared" si="29"/>
        <v>0</v>
      </c>
      <c r="K210" s="35">
        <f t="shared" si="31"/>
        <v>0</v>
      </c>
      <c r="L210" s="24">
        <f t="shared" si="32"/>
        <v>0</v>
      </c>
      <c r="M210" s="41"/>
    </row>
    <row r="211" spans="1:13" s="34" customFormat="1" ht="15.75" customHeight="1" x14ac:dyDescent="0.3">
      <c r="A211" s="24" t="str">
        <f t="shared" si="30"/>
        <v>L025S007</v>
      </c>
      <c r="B211" s="32" t="s">
        <v>71</v>
      </c>
      <c r="C211" s="33" t="s">
        <v>35</v>
      </c>
      <c r="D211" s="33" t="s">
        <v>26</v>
      </c>
      <c r="E211" s="24" t="str">
        <f t="shared" si="33"/>
        <v>Communication</v>
      </c>
      <c r="F211" s="24" t="str">
        <f t="shared" si="33"/>
        <v>IN_1</v>
      </c>
      <c r="G211" s="24" t="str">
        <f t="shared" si="33"/>
        <v>Practical</v>
      </c>
      <c r="H211" s="24" t="str">
        <f t="shared" si="28"/>
        <v>Offline</v>
      </c>
      <c r="I211" s="24">
        <v>0</v>
      </c>
      <c r="J211" s="24">
        <f t="shared" si="29"/>
        <v>0</v>
      </c>
      <c r="K211" s="35">
        <f t="shared" si="31"/>
        <v>0</v>
      </c>
      <c r="L211" s="24">
        <f t="shared" si="32"/>
        <v>0</v>
      </c>
      <c r="M211" s="41"/>
    </row>
    <row r="212" spans="1:13" s="34" customFormat="1" ht="15.75" customHeight="1" x14ac:dyDescent="0.3">
      <c r="A212" s="24" t="str">
        <f t="shared" si="30"/>
        <v>L025S014</v>
      </c>
      <c r="B212" s="32" t="s">
        <v>71</v>
      </c>
      <c r="C212" s="33" t="s">
        <v>46</v>
      </c>
      <c r="D212" s="33" t="s">
        <v>29</v>
      </c>
      <c r="E212" s="24" t="str">
        <f t="shared" si="33"/>
        <v>Foundations of ML</v>
      </c>
      <c r="F212" s="24" t="str">
        <f t="shared" si="33"/>
        <v>IN_2</v>
      </c>
      <c r="G212" s="24" t="str">
        <f t="shared" si="33"/>
        <v>Theory Session</v>
      </c>
      <c r="H212" s="24" t="str">
        <f t="shared" si="28"/>
        <v>Online</v>
      </c>
      <c r="I212" s="24">
        <v>13</v>
      </c>
      <c r="J212" s="24">
        <f t="shared" si="29"/>
        <v>8</v>
      </c>
      <c r="K212" s="35">
        <f t="shared" si="31"/>
        <v>0.4</v>
      </c>
      <c r="L212" s="24">
        <f t="shared" si="32"/>
        <v>0.16000000000000003</v>
      </c>
      <c r="M212" s="41"/>
    </row>
    <row r="213" spans="1:13" s="34" customFormat="1" ht="15.75" customHeight="1" x14ac:dyDescent="0.3">
      <c r="A213" s="24" t="str">
        <f t="shared" si="30"/>
        <v>L025S006</v>
      </c>
      <c r="B213" s="32" t="s">
        <v>71</v>
      </c>
      <c r="C213" s="33" t="s">
        <v>40</v>
      </c>
      <c r="D213" s="33" t="s">
        <v>37</v>
      </c>
      <c r="E213" s="24" t="str">
        <f t="shared" si="33"/>
        <v>Communication</v>
      </c>
      <c r="F213" s="24" t="str">
        <f t="shared" si="33"/>
        <v>IN_6</v>
      </c>
      <c r="G213" s="24" t="str">
        <f t="shared" si="33"/>
        <v>Theory Session</v>
      </c>
      <c r="H213" s="24" t="str">
        <f t="shared" si="28"/>
        <v>Online</v>
      </c>
      <c r="I213" s="24">
        <v>13</v>
      </c>
      <c r="J213" s="24">
        <f t="shared" si="29"/>
        <v>13</v>
      </c>
      <c r="K213" s="35">
        <f t="shared" si="31"/>
        <v>0.65</v>
      </c>
      <c r="L213" s="24">
        <f t="shared" si="32"/>
        <v>0.26</v>
      </c>
      <c r="M213" s="41"/>
    </row>
    <row r="214" spans="1:13" s="34" customFormat="1" ht="15.75" customHeight="1" x14ac:dyDescent="0.3">
      <c r="A214" s="24" t="str">
        <f t="shared" si="30"/>
        <v>L025S002</v>
      </c>
      <c r="B214" s="32" t="s">
        <v>71</v>
      </c>
      <c r="C214" s="33" t="s">
        <v>31</v>
      </c>
      <c r="D214" s="33" t="s">
        <v>26</v>
      </c>
      <c r="E214" s="24" t="str">
        <f t="shared" si="33"/>
        <v>CS Fundamentals</v>
      </c>
      <c r="F214" s="24" t="str">
        <f t="shared" si="33"/>
        <v>IN_3</v>
      </c>
      <c r="G214" s="24" t="str">
        <f t="shared" si="33"/>
        <v>Practical</v>
      </c>
      <c r="H214" s="24" t="str">
        <f t="shared" si="28"/>
        <v>Offline</v>
      </c>
      <c r="I214" s="24">
        <v>0</v>
      </c>
      <c r="J214" s="24">
        <f t="shared" si="29"/>
        <v>0</v>
      </c>
      <c r="K214" s="35">
        <f t="shared" si="31"/>
        <v>0</v>
      </c>
      <c r="L214" s="24">
        <f t="shared" si="32"/>
        <v>0</v>
      </c>
      <c r="M214" s="41"/>
    </row>
    <row r="215" spans="1:13" s="34" customFormat="1" ht="15.75" customHeight="1" x14ac:dyDescent="0.3">
      <c r="A215" s="24" t="str">
        <f t="shared" si="30"/>
        <v>L025S019</v>
      </c>
      <c r="B215" s="32" t="s">
        <v>71</v>
      </c>
      <c r="C215" s="33" t="s">
        <v>38</v>
      </c>
      <c r="D215" s="33" t="s">
        <v>26</v>
      </c>
      <c r="E215" s="24" t="str">
        <f t="shared" si="33"/>
        <v>CS Fundamentals</v>
      </c>
      <c r="F215" s="24" t="str">
        <f t="shared" si="33"/>
        <v>IN_6</v>
      </c>
      <c r="G215" s="24" t="str">
        <f t="shared" si="33"/>
        <v>Workshop</v>
      </c>
      <c r="H215" s="24" t="str">
        <f t="shared" si="28"/>
        <v>Offline</v>
      </c>
      <c r="I215" s="24">
        <v>0</v>
      </c>
      <c r="J215" s="24">
        <f t="shared" si="29"/>
        <v>0</v>
      </c>
      <c r="K215" s="35">
        <f t="shared" si="31"/>
        <v>0</v>
      </c>
      <c r="L215" s="24">
        <f t="shared" si="32"/>
        <v>0</v>
      </c>
      <c r="M215" s="41"/>
    </row>
    <row r="216" spans="1:13" s="34" customFormat="1" ht="15.75" customHeight="1" x14ac:dyDescent="0.3">
      <c r="A216" s="24" t="str">
        <f t="shared" si="30"/>
        <v>L026S013</v>
      </c>
      <c r="B216" s="32" t="s">
        <v>72</v>
      </c>
      <c r="C216" s="33" t="s">
        <v>44</v>
      </c>
      <c r="D216" s="33" t="s">
        <v>37</v>
      </c>
      <c r="E216" s="24" t="str">
        <f t="shared" si="33"/>
        <v>Algebra Basics</v>
      </c>
      <c r="F216" s="24" t="str">
        <f t="shared" si="33"/>
        <v>IN_3</v>
      </c>
      <c r="G216" s="24" t="str">
        <f t="shared" si="33"/>
        <v>Workshop</v>
      </c>
      <c r="H216" s="24" t="str">
        <f t="shared" si="28"/>
        <v>Offline</v>
      </c>
      <c r="I216" s="24">
        <v>9</v>
      </c>
      <c r="J216" s="24">
        <f t="shared" si="29"/>
        <v>9</v>
      </c>
      <c r="K216" s="35">
        <f t="shared" si="31"/>
        <v>0.45</v>
      </c>
      <c r="L216" s="24">
        <f t="shared" si="32"/>
        <v>9.0000000000000011E-2</v>
      </c>
      <c r="M216" s="41"/>
    </row>
    <row r="217" spans="1:13" s="34" customFormat="1" ht="15.75" customHeight="1" x14ac:dyDescent="0.3">
      <c r="A217" s="24" t="str">
        <f t="shared" si="30"/>
        <v>L026S003</v>
      </c>
      <c r="B217" s="32" t="s">
        <v>72</v>
      </c>
      <c r="C217" s="33" t="s">
        <v>50</v>
      </c>
      <c r="D217" s="33" t="s">
        <v>29</v>
      </c>
      <c r="E217" s="24" t="str">
        <f t="shared" si="33"/>
        <v>Algebra Basics</v>
      </c>
      <c r="F217" s="24" t="str">
        <f t="shared" si="33"/>
        <v>IN_7</v>
      </c>
      <c r="G217" s="24" t="str">
        <f t="shared" si="33"/>
        <v>Workshop</v>
      </c>
      <c r="H217" s="24" t="str">
        <f t="shared" si="28"/>
        <v>Offline</v>
      </c>
      <c r="I217" s="24">
        <v>0</v>
      </c>
      <c r="J217" s="24">
        <f t="shared" si="29"/>
        <v>0</v>
      </c>
      <c r="K217" s="35">
        <f t="shared" si="31"/>
        <v>0</v>
      </c>
      <c r="L217" s="24">
        <f t="shared" si="32"/>
        <v>0</v>
      </c>
      <c r="M217" s="41"/>
    </row>
    <row r="218" spans="1:13" s="34" customFormat="1" ht="15.75" customHeight="1" x14ac:dyDescent="0.3">
      <c r="A218" s="24" t="str">
        <f t="shared" si="30"/>
        <v>L026S008</v>
      </c>
      <c r="B218" s="32" t="s">
        <v>72</v>
      </c>
      <c r="C218" s="33" t="s">
        <v>32</v>
      </c>
      <c r="D218" s="33" t="s">
        <v>26</v>
      </c>
      <c r="E218" s="24" t="str">
        <f t="shared" si="33"/>
        <v>CS Fundamentals</v>
      </c>
      <c r="F218" s="24" t="str">
        <f t="shared" si="33"/>
        <v>IN_2</v>
      </c>
      <c r="G218" s="24" t="str">
        <f t="shared" si="33"/>
        <v>Practical</v>
      </c>
      <c r="H218" s="24" t="str">
        <f t="shared" si="28"/>
        <v>Online</v>
      </c>
      <c r="I218" s="24">
        <v>17</v>
      </c>
      <c r="J218" s="24">
        <f t="shared" si="29"/>
        <v>17</v>
      </c>
      <c r="K218" s="35">
        <f t="shared" si="31"/>
        <v>0.85</v>
      </c>
      <c r="L218" s="24">
        <f t="shared" si="32"/>
        <v>0.34</v>
      </c>
      <c r="M218" s="41"/>
    </row>
    <row r="219" spans="1:13" s="34" customFormat="1" ht="15.75" customHeight="1" x14ac:dyDescent="0.3">
      <c r="A219" s="24" t="str">
        <f t="shared" si="30"/>
        <v>L026S010</v>
      </c>
      <c r="B219" s="32" t="s">
        <v>72</v>
      </c>
      <c r="C219" s="33" t="s">
        <v>34</v>
      </c>
      <c r="D219" s="33" t="s">
        <v>26</v>
      </c>
      <c r="E219" s="24" t="str">
        <f t="shared" si="33"/>
        <v>Foundations of ML</v>
      </c>
      <c r="F219" s="24" t="str">
        <f t="shared" si="33"/>
        <v>IN_6</v>
      </c>
      <c r="G219" s="24" t="str">
        <f t="shared" si="33"/>
        <v>Theory Session</v>
      </c>
      <c r="H219" s="24" t="str">
        <f t="shared" si="28"/>
        <v>Offline</v>
      </c>
      <c r="I219" s="24">
        <v>0</v>
      </c>
      <c r="J219" s="24">
        <f t="shared" si="29"/>
        <v>0</v>
      </c>
      <c r="K219" s="35">
        <f t="shared" si="31"/>
        <v>0</v>
      </c>
      <c r="L219" s="24">
        <f t="shared" si="32"/>
        <v>0</v>
      </c>
      <c r="M219" s="41"/>
    </row>
    <row r="220" spans="1:13" s="34" customFormat="1" ht="15.75" customHeight="1" x14ac:dyDescent="0.3">
      <c r="A220" s="24" t="str">
        <f t="shared" si="30"/>
        <v>L026S002</v>
      </c>
      <c r="B220" s="32" t="s">
        <v>72</v>
      </c>
      <c r="C220" s="33" t="s">
        <v>31</v>
      </c>
      <c r="D220" s="33" t="s">
        <v>26</v>
      </c>
      <c r="E220" s="24" t="str">
        <f t="shared" si="33"/>
        <v>CS Fundamentals</v>
      </c>
      <c r="F220" s="24" t="str">
        <f t="shared" si="33"/>
        <v>IN_3</v>
      </c>
      <c r="G220" s="24" t="str">
        <f t="shared" si="33"/>
        <v>Practical</v>
      </c>
      <c r="H220" s="24" t="str">
        <f t="shared" si="28"/>
        <v>Offline</v>
      </c>
      <c r="I220" s="24">
        <v>9</v>
      </c>
      <c r="J220" s="24">
        <f t="shared" si="29"/>
        <v>9</v>
      </c>
      <c r="K220" s="35">
        <f t="shared" si="31"/>
        <v>0.45</v>
      </c>
      <c r="L220" s="24">
        <f t="shared" si="32"/>
        <v>0.18000000000000002</v>
      </c>
      <c r="M220" s="41"/>
    </row>
    <row r="221" spans="1:13" s="34" customFormat="1" ht="15.75" customHeight="1" x14ac:dyDescent="0.3">
      <c r="A221" s="24" t="str">
        <f t="shared" si="30"/>
        <v>L027S002</v>
      </c>
      <c r="B221" s="32" t="s">
        <v>73</v>
      </c>
      <c r="C221" s="33" t="s">
        <v>31</v>
      </c>
      <c r="D221" s="33" t="s">
        <v>26</v>
      </c>
      <c r="E221" s="24" t="str">
        <f t="shared" si="33"/>
        <v>CS Fundamentals</v>
      </c>
      <c r="F221" s="24" t="str">
        <f t="shared" si="33"/>
        <v>IN_3</v>
      </c>
      <c r="G221" s="24" t="str">
        <f t="shared" si="33"/>
        <v>Practical</v>
      </c>
      <c r="H221" s="24" t="str">
        <f t="shared" si="28"/>
        <v>Offline</v>
      </c>
      <c r="I221" s="24">
        <v>0</v>
      </c>
      <c r="J221" s="24">
        <f t="shared" si="29"/>
        <v>0</v>
      </c>
      <c r="K221" s="35">
        <f t="shared" si="31"/>
        <v>0</v>
      </c>
      <c r="L221" s="24">
        <f t="shared" si="32"/>
        <v>0</v>
      </c>
      <c r="M221" s="41"/>
    </row>
    <row r="222" spans="1:13" s="34" customFormat="1" ht="15.75" customHeight="1" x14ac:dyDescent="0.3">
      <c r="A222" s="24" t="str">
        <f t="shared" si="30"/>
        <v>L027S003</v>
      </c>
      <c r="B222" s="32" t="s">
        <v>73</v>
      </c>
      <c r="C222" s="33" t="s">
        <v>50</v>
      </c>
      <c r="D222" s="33" t="s">
        <v>29</v>
      </c>
      <c r="E222" s="24" t="str">
        <f t="shared" si="33"/>
        <v>Algebra Basics</v>
      </c>
      <c r="F222" s="24" t="str">
        <f t="shared" si="33"/>
        <v>IN_7</v>
      </c>
      <c r="G222" s="24" t="str">
        <f t="shared" si="33"/>
        <v>Workshop</v>
      </c>
      <c r="H222" s="24" t="str">
        <f t="shared" si="28"/>
        <v>Offline</v>
      </c>
      <c r="I222" s="24">
        <v>19</v>
      </c>
      <c r="J222" s="24">
        <f t="shared" si="29"/>
        <v>14</v>
      </c>
      <c r="K222" s="35">
        <f t="shared" si="31"/>
        <v>0.7</v>
      </c>
      <c r="L222" s="24">
        <f t="shared" si="32"/>
        <v>0.13999999999999999</v>
      </c>
      <c r="M222" s="41"/>
    </row>
    <row r="223" spans="1:13" s="34" customFormat="1" ht="15.75" customHeight="1" x14ac:dyDescent="0.3">
      <c r="A223" s="24" t="str">
        <f t="shared" si="30"/>
        <v>L027S011</v>
      </c>
      <c r="B223" s="32" t="s">
        <v>73</v>
      </c>
      <c r="C223" s="33" t="s">
        <v>39</v>
      </c>
      <c r="D223" s="33" t="s">
        <v>26</v>
      </c>
      <c r="E223" s="24" t="str">
        <f t="shared" ref="E223:G242" si="34">VLOOKUP($C223,session_details,E$1,FALSE)</f>
        <v>Algebra Basics</v>
      </c>
      <c r="F223" s="24" t="str">
        <f t="shared" si="34"/>
        <v>IN_4</v>
      </c>
      <c r="G223" s="24" t="str">
        <f t="shared" si="34"/>
        <v>Theory Session</v>
      </c>
      <c r="H223" s="24" t="str">
        <f t="shared" si="28"/>
        <v>Online</v>
      </c>
      <c r="I223" s="24">
        <v>0</v>
      </c>
      <c r="J223" s="24">
        <f t="shared" si="29"/>
        <v>0</v>
      </c>
      <c r="K223" s="35">
        <f t="shared" si="31"/>
        <v>0</v>
      </c>
      <c r="L223" s="24">
        <f t="shared" si="32"/>
        <v>0</v>
      </c>
      <c r="M223" s="41"/>
    </row>
    <row r="224" spans="1:13" s="34" customFormat="1" ht="15.75" customHeight="1" x14ac:dyDescent="0.3">
      <c r="A224" s="24" t="str">
        <f t="shared" si="30"/>
        <v>L027S005</v>
      </c>
      <c r="B224" s="32" t="s">
        <v>73</v>
      </c>
      <c r="C224" s="33" t="s">
        <v>36</v>
      </c>
      <c r="D224" s="33" t="s">
        <v>26</v>
      </c>
      <c r="E224" s="24" t="str">
        <f t="shared" si="34"/>
        <v>Algebra Basics</v>
      </c>
      <c r="F224" s="24" t="str">
        <f t="shared" si="34"/>
        <v>IN_4</v>
      </c>
      <c r="G224" s="24" t="str">
        <f t="shared" si="34"/>
        <v>Workshop</v>
      </c>
      <c r="H224" s="24" t="str">
        <f t="shared" si="28"/>
        <v>Online</v>
      </c>
      <c r="I224" s="24">
        <v>12</v>
      </c>
      <c r="J224" s="24">
        <f t="shared" si="29"/>
        <v>12</v>
      </c>
      <c r="K224" s="35">
        <f t="shared" si="31"/>
        <v>0.6</v>
      </c>
      <c r="L224" s="24">
        <f t="shared" si="32"/>
        <v>0.12</v>
      </c>
      <c r="M224" s="41"/>
    </row>
    <row r="225" spans="1:13" s="34" customFormat="1" ht="15.75" customHeight="1" x14ac:dyDescent="0.3">
      <c r="A225" s="24" t="str">
        <f t="shared" si="30"/>
        <v>L027S004</v>
      </c>
      <c r="B225" s="32" t="s">
        <v>73</v>
      </c>
      <c r="C225" s="33" t="s">
        <v>47</v>
      </c>
      <c r="D225" s="33" t="s">
        <v>26</v>
      </c>
      <c r="E225" s="24" t="str">
        <f t="shared" si="34"/>
        <v>Foundations of ML</v>
      </c>
      <c r="F225" s="24" t="str">
        <f t="shared" si="34"/>
        <v>IN_4</v>
      </c>
      <c r="G225" s="24" t="str">
        <f t="shared" si="34"/>
        <v>Workshop</v>
      </c>
      <c r="H225" s="24" t="str">
        <f t="shared" si="28"/>
        <v>Online</v>
      </c>
      <c r="I225" s="24">
        <v>0</v>
      </c>
      <c r="J225" s="24">
        <f t="shared" si="29"/>
        <v>0</v>
      </c>
      <c r="K225" s="35">
        <f t="shared" si="31"/>
        <v>0</v>
      </c>
      <c r="L225" s="24">
        <f t="shared" si="32"/>
        <v>0</v>
      </c>
      <c r="M225" s="41"/>
    </row>
    <row r="226" spans="1:13" s="34" customFormat="1" ht="15.75" customHeight="1" x14ac:dyDescent="0.3">
      <c r="A226" s="24" t="str">
        <f t="shared" si="30"/>
        <v>L027S016</v>
      </c>
      <c r="B226" s="32" t="s">
        <v>73</v>
      </c>
      <c r="C226" s="33" t="s">
        <v>27</v>
      </c>
      <c r="D226" s="33" t="s">
        <v>26</v>
      </c>
      <c r="E226" s="24" t="str">
        <f t="shared" si="34"/>
        <v>Algebra Basics</v>
      </c>
      <c r="F226" s="24" t="str">
        <f t="shared" si="34"/>
        <v>IN_2</v>
      </c>
      <c r="G226" s="24" t="str">
        <f t="shared" si="34"/>
        <v>Workshop</v>
      </c>
      <c r="H226" s="24" t="str">
        <f t="shared" si="28"/>
        <v>Offline</v>
      </c>
      <c r="I226" s="24">
        <v>0</v>
      </c>
      <c r="J226" s="24">
        <f t="shared" si="29"/>
        <v>0</v>
      </c>
      <c r="K226" s="35">
        <f t="shared" si="31"/>
        <v>0</v>
      </c>
      <c r="L226" s="24">
        <f t="shared" si="32"/>
        <v>0</v>
      </c>
      <c r="M226" s="41"/>
    </row>
    <row r="227" spans="1:13" s="34" customFormat="1" ht="15.75" customHeight="1" x14ac:dyDescent="0.3">
      <c r="A227" s="24" t="str">
        <f t="shared" si="30"/>
        <v>L027S009</v>
      </c>
      <c r="B227" s="32" t="s">
        <v>73</v>
      </c>
      <c r="C227" s="33" t="s">
        <v>45</v>
      </c>
      <c r="D227" s="33" t="s">
        <v>37</v>
      </c>
      <c r="E227" s="24" t="str">
        <f t="shared" si="34"/>
        <v>Communication</v>
      </c>
      <c r="F227" s="24" t="str">
        <f t="shared" si="34"/>
        <v>IN_6</v>
      </c>
      <c r="G227" s="24" t="str">
        <f t="shared" si="34"/>
        <v>Workshop</v>
      </c>
      <c r="H227" s="24" t="str">
        <f t="shared" si="28"/>
        <v>Offline</v>
      </c>
      <c r="I227" s="24">
        <v>14</v>
      </c>
      <c r="J227" s="24">
        <f t="shared" si="29"/>
        <v>14</v>
      </c>
      <c r="K227" s="35">
        <f t="shared" si="31"/>
        <v>0.7</v>
      </c>
      <c r="L227" s="24">
        <f t="shared" si="32"/>
        <v>0.13999999999999999</v>
      </c>
      <c r="M227" s="41"/>
    </row>
    <row r="228" spans="1:13" s="34" customFormat="1" ht="15.75" customHeight="1" x14ac:dyDescent="0.3">
      <c r="A228" s="24" t="str">
        <f t="shared" si="30"/>
        <v>L027S015</v>
      </c>
      <c r="B228" s="32" t="s">
        <v>73</v>
      </c>
      <c r="C228" s="33" t="s">
        <v>41</v>
      </c>
      <c r="D228" s="33" t="s">
        <v>26</v>
      </c>
      <c r="E228" s="24" t="str">
        <f t="shared" si="34"/>
        <v>Foundations of ML</v>
      </c>
      <c r="F228" s="24" t="str">
        <f t="shared" si="34"/>
        <v>IN_4</v>
      </c>
      <c r="G228" s="24" t="str">
        <f t="shared" si="34"/>
        <v>Practical</v>
      </c>
      <c r="H228" s="24" t="str">
        <f t="shared" si="28"/>
        <v>Offline</v>
      </c>
      <c r="I228" s="24">
        <v>0</v>
      </c>
      <c r="J228" s="24">
        <f t="shared" si="29"/>
        <v>0</v>
      </c>
      <c r="K228" s="35">
        <f t="shared" si="31"/>
        <v>0</v>
      </c>
      <c r="L228" s="24">
        <f t="shared" si="32"/>
        <v>0</v>
      </c>
      <c r="M228" s="41"/>
    </row>
    <row r="229" spans="1:13" s="34" customFormat="1" ht="15.75" customHeight="1" x14ac:dyDescent="0.3">
      <c r="A229" s="24" t="str">
        <f t="shared" si="30"/>
        <v>L027S018</v>
      </c>
      <c r="B229" s="32" t="s">
        <v>73</v>
      </c>
      <c r="C229" s="33" t="s">
        <v>25</v>
      </c>
      <c r="D229" s="33" t="s">
        <v>37</v>
      </c>
      <c r="E229" s="24" t="str">
        <f t="shared" si="34"/>
        <v>CS Fundamentals</v>
      </c>
      <c r="F229" s="24" t="str">
        <f t="shared" si="34"/>
        <v>IN_5</v>
      </c>
      <c r="G229" s="24" t="str">
        <f t="shared" si="34"/>
        <v>Practical</v>
      </c>
      <c r="H229" s="24" t="str">
        <f t="shared" si="28"/>
        <v>Online</v>
      </c>
      <c r="I229" s="24">
        <v>17</v>
      </c>
      <c r="J229" s="24">
        <f t="shared" si="29"/>
        <v>17</v>
      </c>
      <c r="K229" s="35">
        <f t="shared" si="31"/>
        <v>0.85</v>
      </c>
      <c r="L229" s="24">
        <f t="shared" si="32"/>
        <v>0.34</v>
      </c>
      <c r="M229" s="41"/>
    </row>
    <row r="230" spans="1:13" s="34" customFormat="1" ht="15.75" customHeight="1" x14ac:dyDescent="0.3">
      <c r="A230" s="24" t="str">
        <f t="shared" si="30"/>
        <v>L028S004</v>
      </c>
      <c r="B230" s="32" t="s">
        <v>74</v>
      </c>
      <c r="C230" s="33" t="s">
        <v>47</v>
      </c>
      <c r="D230" s="33" t="s">
        <v>26</v>
      </c>
      <c r="E230" s="24" t="str">
        <f t="shared" si="34"/>
        <v>Foundations of ML</v>
      </c>
      <c r="F230" s="24" t="str">
        <f t="shared" si="34"/>
        <v>IN_4</v>
      </c>
      <c r="G230" s="24" t="str">
        <f t="shared" si="34"/>
        <v>Workshop</v>
      </c>
      <c r="H230" s="24" t="str">
        <f t="shared" si="28"/>
        <v>Online</v>
      </c>
      <c r="I230" s="24">
        <v>0</v>
      </c>
      <c r="J230" s="24">
        <f t="shared" si="29"/>
        <v>0</v>
      </c>
      <c r="K230" s="35">
        <f t="shared" si="31"/>
        <v>0</v>
      </c>
      <c r="L230" s="24">
        <f t="shared" si="32"/>
        <v>0</v>
      </c>
      <c r="M230" s="41"/>
    </row>
    <row r="231" spans="1:13" s="34" customFormat="1" ht="15.75" customHeight="1" x14ac:dyDescent="0.3">
      <c r="A231" s="24" t="str">
        <f t="shared" si="30"/>
        <v>L028S015</v>
      </c>
      <c r="B231" s="32" t="s">
        <v>74</v>
      </c>
      <c r="C231" s="33" t="s">
        <v>41</v>
      </c>
      <c r="D231" s="33" t="s">
        <v>26</v>
      </c>
      <c r="E231" s="24" t="str">
        <f t="shared" si="34"/>
        <v>Foundations of ML</v>
      </c>
      <c r="F231" s="24" t="str">
        <f t="shared" si="34"/>
        <v>IN_4</v>
      </c>
      <c r="G231" s="24" t="str">
        <f t="shared" si="34"/>
        <v>Practical</v>
      </c>
      <c r="H231" s="24" t="str">
        <f t="shared" si="28"/>
        <v>Offline</v>
      </c>
      <c r="I231" s="24">
        <v>0</v>
      </c>
      <c r="J231" s="24">
        <f t="shared" si="29"/>
        <v>0</v>
      </c>
      <c r="K231" s="35">
        <f t="shared" si="31"/>
        <v>0</v>
      </c>
      <c r="L231" s="24">
        <f t="shared" si="32"/>
        <v>0</v>
      </c>
      <c r="M231" s="41"/>
    </row>
    <row r="232" spans="1:13" s="34" customFormat="1" ht="15.75" customHeight="1" x14ac:dyDescent="0.3">
      <c r="A232" s="24" t="str">
        <f t="shared" si="30"/>
        <v>L028S001</v>
      </c>
      <c r="B232" s="32" t="s">
        <v>74</v>
      </c>
      <c r="C232" s="33" t="s">
        <v>43</v>
      </c>
      <c r="D232" s="33" t="s">
        <v>26</v>
      </c>
      <c r="E232" s="24" t="str">
        <f t="shared" si="34"/>
        <v>CS Fundamentals</v>
      </c>
      <c r="F232" s="24" t="str">
        <f t="shared" si="34"/>
        <v>IN_2</v>
      </c>
      <c r="G232" s="24" t="str">
        <f t="shared" si="34"/>
        <v>Theory Session</v>
      </c>
      <c r="H232" s="24" t="str">
        <f t="shared" si="28"/>
        <v>Online</v>
      </c>
      <c r="I232" s="24">
        <v>4</v>
      </c>
      <c r="J232" s="24">
        <f t="shared" si="29"/>
        <v>4</v>
      </c>
      <c r="K232" s="35">
        <f t="shared" si="31"/>
        <v>0.2</v>
      </c>
      <c r="L232" s="24">
        <f t="shared" si="32"/>
        <v>8.0000000000000016E-2</v>
      </c>
      <c r="M232" s="41"/>
    </row>
    <row r="233" spans="1:13" s="34" customFormat="1" ht="15.75" customHeight="1" x14ac:dyDescent="0.3">
      <c r="A233" s="24" t="str">
        <f t="shared" si="30"/>
        <v>L028S018</v>
      </c>
      <c r="B233" s="32" t="s">
        <v>74</v>
      </c>
      <c r="C233" s="33" t="s">
        <v>25</v>
      </c>
      <c r="D233" s="33" t="s">
        <v>26</v>
      </c>
      <c r="E233" s="24" t="str">
        <f t="shared" si="34"/>
        <v>CS Fundamentals</v>
      </c>
      <c r="F233" s="24" t="str">
        <f t="shared" si="34"/>
        <v>IN_5</v>
      </c>
      <c r="G233" s="24" t="str">
        <f t="shared" si="34"/>
        <v>Practical</v>
      </c>
      <c r="H233" s="24" t="str">
        <f t="shared" si="28"/>
        <v>Online</v>
      </c>
      <c r="I233" s="24">
        <v>8</v>
      </c>
      <c r="J233" s="24">
        <f t="shared" si="29"/>
        <v>8</v>
      </c>
      <c r="K233" s="35">
        <f t="shared" si="31"/>
        <v>0.4</v>
      </c>
      <c r="L233" s="24">
        <f t="shared" si="32"/>
        <v>0.16000000000000003</v>
      </c>
      <c r="M233" s="41"/>
    </row>
    <row r="234" spans="1:13" s="34" customFormat="1" ht="15.75" customHeight="1" x14ac:dyDescent="0.3">
      <c r="A234" s="24" t="str">
        <f t="shared" si="30"/>
        <v>L028S008</v>
      </c>
      <c r="B234" s="32" t="s">
        <v>74</v>
      </c>
      <c r="C234" s="33" t="s">
        <v>32</v>
      </c>
      <c r="D234" s="33" t="s">
        <v>26</v>
      </c>
      <c r="E234" s="24" t="str">
        <f t="shared" si="34"/>
        <v>CS Fundamentals</v>
      </c>
      <c r="F234" s="24" t="str">
        <f t="shared" si="34"/>
        <v>IN_2</v>
      </c>
      <c r="G234" s="24" t="str">
        <f t="shared" si="34"/>
        <v>Practical</v>
      </c>
      <c r="H234" s="24" t="str">
        <f t="shared" si="28"/>
        <v>Online</v>
      </c>
      <c r="I234" s="24">
        <v>0</v>
      </c>
      <c r="J234" s="24">
        <f t="shared" si="29"/>
        <v>0</v>
      </c>
      <c r="K234" s="35">
        <f t="shared" si="31"/>
        <v>0</v>
      </c>
      <c r="L234" s="24">
        <f t="shared" si="32"/>
        <v>0</v>
      </c>
      <c r="M234" s="41"/>
    </row>
    <row r="235" spans="1:13" s="34" customFormat="1" ht="15.75" customHeight="1" x14ac:dyDescent="0.3">
      <c r="A235" s="24" t="str">
        <f t="shared" si="30"/>
        <v>L028S007</v>
      </c>
      <c r="B235" s="32" t="s">
        <v>74</v>
      </c>
      <c r="C235" s="33" t="s">
        <v>35</v>
      </c>
      <c r="D235" s="33" t="s">
        <v>26</v>
      </c>
      <c r="E235" s="24" t="str">
        <f t="shared" si="34"/>
        <v>Communication</v>
      </c>
      <c r="F235" s="24" t="str">
        <f t="shared" si="34"/>
        <v>IN_1</v>
      </c>
      <c r="G235" s="24" t="str">
        <f t="shared" si="34"/>
        <v>Practical</v>
      </c>
      <c r="H235" s="24" t="str">
        <f t="shared" si="28"/>
        <v>Offline</v>
      </c>
      <c r="I235" s="24">
        <v>0</v>
      </c>
      <c r="J235" s="24">
        <f t="shared" si="29"/>
        <v>0</v>
      </c>
      <c r="K235" s="35">
        <f t="shared" si="31"/>
        <v>0</v>
      </c>
      <c r="L235" s="24">
        <f t="shared" si="32"/>
        <v>0</v>
      </c>
      <c r="M235" s="41"/>
    </row>
    <row r="236" spans="1:13" s="34" customFormat="1" ht="15.75" customHeight="1" x14ac:dyDescent="0.3">
      <c r="A236" s="24" t="str">
        <f t="shared" si="30"/>
        <v>L028S011</v>
      </c>
      <c r="B236" s="32" t="s">
        <v>74</v>
      </c>
      <c r="C236" s="33" t="s">
        <v>39</v>
      </c>
      <c r="D236" s="33" t="s">
        <v>26</v>
      </c>
      <c r="E236" s="24" t="str">
        <f t="shared" si="34"/>
        <v>Algebra Basics</v>
      </c>
      <c r="F236" s="24" t="str">
        <f t="shared" si="34"/>
        <v>IN_4</v>
      </c>
      <c r="G236" s="24" t="str">
        <f t="shared" si="34"/>
        <v>Theory Session</v>
      </c>
      <c r="H236" s="24" t="str">
        <f t="shared" si="28"/>
        <v>Online</v>
      </c>
      <c r="I236" s="24">
        <v>0</v>
      </c>
      <c r="J236" s="24">
        <f t="shared" si="29"/>
        <v>0</v>
      </c>
      <c r="K236" s="35">
        <f t="shared" si="31"/>
        <v>0</v>
      </c>
      <c r="L236" s="24">
        <f t="shared" si="32"/>
        <v>0</v>
      </c>
      <c r="M236" s="41"/>
    </row>
    <row r="237" spans="1:13" s="34" customFormat="1" ht="15.75" customHeight="1" x14ac:dyDescent="0.3">
      <c r="A237" s="24" t="str">
        <f t="shared" si="30"/>
        <v>L028S002</v>
      </c>
      <c r="B237" s="32" t="s">
        <v>74</v>
      </c>
      <c r="C237" s="33" t="s">
        <v>31</v>
      </c>
      <c r="D237" s="33" t="s">
        <v>26</v>
      </c>
      <c r="E237" s="24" t="str">
        <f t="shared" si="34"/>
        <v>CS Fundamentals</v>
      </c>
      <c r="F237" s="24" t="str">
        <f t="shared" si="34"/>
        <v>IN_3</v>
      </c>
      <c r="G237" s="24" t="str">
        <f t="shared" si="34"/>
        <v>Practical</v>
      </c>
      <c r="H237" s="24" t="str">
        <f t="shared" si="28"/>
        <v>Offline</v>
      </c>
      <c r="I237" s="24">
        <v>15</v>
      </c>
      <c r="J237" s="24">
        <f t="shared" si="29"/>
        <v>15</v>
      </c>
      <c r="K237" s="35">
        <f t="shared" si="31"/>
        <v>0.75</v>
      </c>
      <c r="L237" s="24">
        <f t="shared" si="32"/>
        <v>0.30000000000000004</v>
      </c>
      <c r="M237" s="41"/>
    </row>
    <row r="238" spans="1:13" s="34" customFormat="1" ht="15.75" customHeight="1" x14ac:dyDescent="0.3">
      <c r="A238" s="24" t="str">
        <f t="shared" si="30"/>
        <v>L028S006</v>
      </c>
      <c r="B238" s="32" t="s">
        <v>74</v>
      </c>
      <c r="C238" s="33" t="s">
        <v>40</v>
      </c>
      <c r="D238" s="33" t="s">
        <v>26</v>
      </c>
      <c r="E238" s="24" t="str">
        <f t="shared" si="34"/>
        <v>Communication</v>
      </c>
      <c r="F238" s="24" t="str">
        <f t="shared" si="34"/>
        <v>IN_6</v>
      </c>
      <c r="G238" s="24" t="str">
        <f t="shared" si="34"/>
        <v>Theory Session</v>
      </c>
      <c r="H238" s="24" t="str">
        <f t="shared" si="28"/>
        <v>Online</v>
      </c>
      <c r="I238" s="24">
        <v>0</v>
      </c>
      <c r="J238" s="24">
        <f t="shared" si="29"/>
        <v>0</v>
      </c>
      <c r="K238" s="35">
        <f t="shared" si="31"/>
        <v>0</v>
      </c>
      <c r="L238" s="24">
        <f t="shared" si="32"/>
        <v>0</v>
      </c>
      <c r="M238" s="41"/>
    </row>
    <row r="239" spans="1:13" s="34" customFormat="1" ht="15.75" customHeight="1" x14ac:dyDescent="0.3">
      <c r="A239" s="24" t="str">
        <f t="shared" si="30"/>
        <v>L028S010</v>
      </c>
      <c r="B239" s="32" t="s">
        <v>74</v>
      </c>
      <c r="C239" s="33" t="s">
        <v>34</v>
      </c>
      <c r="D239" s="33" t="s">
        <v>26</v>
      </c>
      <c r="E239" s="24" t="str">
        <f t="shared" si="34"/>
        <v>Foundations of ML</v>
      </c>
      <c r="F239" s="24" t="str">
        <f t="shared" si="34"/>
        <v>IN_6</v>
      </c>
      <c r="G239" s="24" t="str">
        <f t="shared" si="34"/>
        <v>Theory Session</v>
      </c>
      <c r="H239" s="24" t="str">
        <f t="shared" si="28"/>
        <v>Offline</v>
      </c>
      <c r="I239" s="24">
        <v>0</v>
      </c>
      <c r="J239" s="24">
        <f t="shared" si="29"/>
        <v>0</v>
      </c>
      <c r="K239" s="35">
        <f t="shared" si="31"/>
        <v>0</v>
      </c>
      <c r="L239" s="24">
        <f t="shared" si="32"/>
        <v>0</v>
      </c>
      <c r="M239" s="41"/>
    </row>
    <row r="240" spans="1:13" s="34" customFormat="1" ht="15.75" customHeight="1" x14ac:dyDescent="0.3">
      <c r="A240" s="24" t="str">
        <f t="shared" si="30"/>
        <v>L028S020</v>
      </c>
      <c r="B240" s="32" t="s">
        <v>74</v>
      </c>
      <c r="C240" s="33" t="s">
        <v>30</v>
      </c>
      <c r="D240" s="33" t="s">
        <v>37</v>
      </c>
      <c r="E240" s="24" t="str">
        <f t="shared" si="34"/>
        <v>Foundations of ML</v>
      </c>
      <c r="F240" s="24" t="str">
        <f t="shared" si="34"/>
        <v>IN_4</v>
      </c>
      <c r="G240" s="24" t="str">
        <f t="shared" si="34"/>
        <v>Workshop</v>
      </c>
      <c r="H240" s="24" t="str">
        <f t="shared" si="28"/>
        <v>Online</v>
      </c>
      <c r="I240" s="24">
        <v>0</v>
      </c>
      <c r="J240" s="24">
        <f t="shared" si="29"/>
        <v>0</v>
      </c>
      <c r="K240" s="35">
        <f t="shared" si="31"/>
        <v>0</v>
      </c>
      <c r="L240" s="24">
        <f t="shared" si="32"/>
        <v>0</v>
      </c>
      <c r="M240" s="41"/>
    </row>
    <row r="241" spans="1:13" s="34" customFormat="1" ht="15.75" customHeight="1" x14ac:dyDescent="0.3">
      <c r="A241" s="24" t="str">
        <f t="shared" si="30"/>
        <v>L029S005</v>
      </c>
      <c r="B241" s="32" t="s">
        <v>75</v>
      </c>
      <c r="C241" s="33" t="s">
        <v>36</v>
      </c>
      <c r="D241" s="33" t="s">
        <v>26</v>
      </c>
      <c r="E241" s="24" t="str">
        <f t="shared" si="34"/>
        <v>Algebra Basics</v>
      </c>
      <c r="F241" s="24" t="str">
        <f t="shared" si="34"/>
        <v>IN_4</v>
      </c>
      <c r="G241" s="24" t="str">
        <f t="shared" si="34"/>
        <v>Workshop</v>
      </c>
      <c r="H241" s="24" t="str">
        <f t="shared" si="28"/>
        <v>Online</v>
      </c>
      <c r="I241" s="24">
        <v>0</v>
      </c>
      <c r="J241" s="24">
        <f t="shared" si="29"/>
        <v>0</v>
      </c>
      <c r="K241" s="35">
        <f t="shared" si="31"/>
        <v>0</v>
      </c>
      <c r="L241" s="24">
        <f t="shared" si="32"/>
        <v>0</v>
      </c>
      <c r="M241" s="41"/>
    </row>
    <row r="242" spans="1:13" s="34" customFormat="1" ht="15.75" customHeight="1" x14ac:dyDescent="0.3">
      <c r="A242" s="24" t="str">
        <f t="shared" si="30"/>
        <v>L029S017</v>
      </c>
      <c r="B242" s="32" t="s">
        <v>75</v>
      </c>
      <c r="C242" s="33" t="s">
        <v>28</v>
      </c>
      <c r="D242" s="33" t="s">
        <v>26</v>
      </c>
      <c r="E242" s="24" t="str">
        <f t="shared" si="34"/>
        <v>Communication</v>
      </c>
      <c r="F242" s="24" t="str">
        <f t="shared" si="34"/>
        <v>IN_7</v>
      </c>
      <c r="G242" s="24" t="str">
        <f t="shared" si="34"/>
        <v>Practical</v>
      </c>
      <c r="H242" s="24" t="str">
        <f t="shared" si="28"/>
        <v>Offline</v>
      </c>
      <c r="I242" s="24">
        <v>0</v>
      </c>
      <c r="J242" s="24">
        <f t="shared" si="29"/>
        <v>0</v>
      </c>
      <c r="K242" s="35">
        <f t="shared" si="31"/>
        <v>0</v>
      </c>
      <c r="L242" s="24">
        <f t="shared" si="32"/>
        <v>0</v>
      </c>
      <c r="M242" s="41"/>
    </row>
    <row r="243" spans="1:13" s="34" customFormat="1" ht="15.75" customHeight="1" x14ac:dyDescent="0.3">
      <c r="A243" s="24" t="str">
        <f t="shared" si="30"/>
        <v>L029S016</v>
      </c>
      <c r="B243" s="32" t="s">
        <v>75</v>
      </c>
      <c r="C243" s="33" t="s">
        <v>27</v>
      </c>
      <c r="D243" s="33" t="s">
        <v>26</v>
      </c>
      <c r="E243" s="24" t="str">
        <f t="shared" ref="E243:G262" si="35">VLOOKUP($C243,session_details,E$1,FALSE)</f>
        <v>Algebra Basics</v>
      </c>
      <c r="F243" s="24" t="str">
        <f t="shared" si="35"/>
        <v>IN_2</v>
      </c>
      <c r="G243" s="24" t="str">
        <f t="shared" si="35"/>
        <v>Workshop</v>
      </c>
      <c r="H243" s="24" t="str">
        <f t="shared" si="28"/>
        <v>Offline</v>
      </c>
      <c r="I243" s="24">
        <v>0</v>
      </c>
      <c r="J243" s="24">
        <f t="shared" si="29"/>
        <v>0</v>
      </c>
      <c r="K243" s="35">
        <f t="shared" si="31"/>
        <v>0</v>
      </c>
      <c r="L243" s="24">
        <f t="shared" si="32"/>
        <v>0</v>
      </c>
      <c r="M243" s="41"/>
    </row>
    <row r="244" spans="1:13" s="34" customFormat="1" ht="15.75" customHeight="1" x14ac:dyDescent="0.3">
      <c r="A244" s="24" t="str">
        <f t="shared" si="30"/>
        <v>L029S008</v>
      </c>
      <c r="B244" s="32" t="s">
        <v>75</v>
      </c>
      <c r="C244" s="33" t="s">
        <v>32</v>
      </c>
      <c r="D244" s="33" t="s">
        <v>37</v>
      </c>
      <c r="E244" s="24" t="str">
        <f t="shared" si="35"/>
        <v>CS Fundamentals</v>
      </c>
      <c r="F244" s="24" t="str">
        <f t="shared" si="35"/>
        <v>IN_2</v>
      </c>
      <c r="G244" s="24" t="str">
        <f t="shared" si="35"/>
        <v>Practical</v>
      </c>
      <c r="H244" s="24" t="str">
        <f t="shared" si="28"/>
        <v>Online</v>
      </c>
      <c r="I244" s="24">
        <v>0</v>
      </c>
      <c r="J244" s="24">
        <f t="shared" si="29"/>
        <v>0</v>
      </c>
      <c r="K244" s="35">
        <f t="shared" si="31"/>
        <v>0</v>
      </c>
      <c r="L244" s="24">
        <f t="shared" si="32"/>
        <v>0</v>
      </c>
      <c r="M244" s="41"/>
    </row>
    <row r="245" spans="1:13" s="34" customFormat="1" ht="15.75" customHeight="1" x14ac:dyDescent="0.3">
      <c r="A245" s="24" t="str">
        <f t="shared" si="30"/>
        <v>L029S020</v>
      </c>
      <c r="B245" s="32" t="s">
        <v>75</v>
      </c>
      <c r="C245" s="33" t="s">
        <v>30</v>
      </c>
      <c r="D245" s="33" t="s">
        <v>26</v>
      </c>
      <c r="E245" s="24" t="str">
        <f t="shared" si="35"/>
        <v>Foundations of ML</v>
      </c>
      <c r="F245" s="24" t="str">
        <f t="shared" si="35"/>
        <v>IN_4</v>
      </c>
      <c r="G245" s="24" t="str">
        <f t="shared" si="35"/>
        <v>Workshop</v>
      </c>
      <c r="H245" s="24" t="str">
        <f t="shared" si="28"/>
        <v>Online</v>
      </c>
      <c r="I245" s="24">
        <v>0</v>
      </c>
      <c r="J245" s="24">
        <f t="shared" si="29"/>
        <v>0</v>
      </c>
      <c r="K245" s="35">
        <f t="shared" si="31"/>
        <v>0</v>
      </c>
      <c r="L245" s="24">
        <f t="shared" si="32"/>
        <v>0</v>
      </c>
      <c r="M245" s="41"/>
    </row>
    <row r="246" spans="1:13" s="34" customFormat="1" ht="15.75" customHeight="1" x14ac:dyDescent="0.3">
      <c r="A246" s="24" t="str">
        <f t="shared" si="30"/>
        <v>L030S014</v>
      </c>
      <c r="B246" s="32" t="s">
        <v>76</v>
      </c>
      <c r="C246" s="33" t="s">
        <v>46</v>
      </c>
      <c r="D246" s="33" t="s">
        <v>26</v>
      </c>
      <c r="E246" s="24" t="str">
        <f t="shared" si="35"/>
        <v>Foundations of ML</v>
      </c>
      <c r="F246" s="24" t="str">
        <f t="shared" si="35"/>
        <v>IN_2</v>
      </c>
      <c r="G246" s="24" t="str">
        <f t="shared" si="35"/>
        <v>Theory Session</v>
      </c>
      <c r="H246" s="24" t="str">
        <f t="shared" si="28"/>
        <v>Online</v>
      </c>
      <c r="I246" s="24">
        <v>20</v>
      </c>
      <c r="J246" s="24">
        <f t="shared" si="29"/>
        <v>20</v>
      </c>
      <c r="K246" s="35">
        <f t="shared" si="31"/>
        <v>1</v>
      </c>
      <c r="L246" s="24">
        <f t="shared" si="32"/>
        <v>0.4</v>
      </c>
      <c r="M246" s="41"/>
    </row>
    <row r="247" spans="1:13" s="34" customFormat="1" ht="15.75" customHeight="1" x14ac:dyDescent="0.3">
      <c r="A247" s="24" t="str">
        <f t="shared" si="30"/>
        <v>L030S003</v>
      </c>
      <c r="B247" s="32" t="s">
        <v>76</v>
      </c>
      <c r="C247" s="33" t="s">
        <v>50</v>
      </c>
      <c r="D247" s="33" t="s">
        <v>26</v>
      </c>
      <c r="E247" s="24" t="str">
        <f t="shared" si="35"/>
        <v>Algebra Basics</v>
      </c>
      <c r="F247" s="24" t="str">
        <f t="shared" si="35"/>
        <v>IN_7</v>
      </c>
      <c r="G247" s="24" t="str">
        <f t="shared" si="35"/>
        <v>Workshop</v>
      </c>
      <c r="H247" s="24" t="str">
        <f t="shared" si="28"/>
        <v>Offline</v>
      </c>
      <c r="I247" s="24">
        <v>0</v>
      </c>
      <c r="J247" s="24">
        <f t="shared" si="29"/>
        <v>0</v>
      </c>
      <c r="K247" s="35">
        <f t="shared" si="31"/>
        <v>0</v>
      </c>
      <c r="L247" s="24">
        <f t="shared" si="32"/>
        <v>0</v>
      </c>
      <c r="M247" s="41"/>
    </row>
    <row r="248" spans="1:13" s="34" customFormat="1" ht="15.75" customHeight="1" x14ac:dyDescent="0.3">
      <c r="A248" s="24" t="str">
        <f t="shared" si="30"/>
        <v>L030S006</v>
      </c>
      <c r="B248" s="32" t="s">
        <v>76</v>
      </c>
      <c r="C248" s="33" t="s">
        <v>40</v>
      </c>
      <c r="D248" s="33" t="s">
        <v>26</v>
      </c>
      <c r="E248" s="24" t="str">
        <f t="shared" si="35"/>
        <v>Communication</v>
      </c>
      <c r="F248" s="24" t="str">
        <f t="shared" si="35"/>
        <v>IN_6</v>
      </c>
      <c r="G248" s="24" t="str">
        <f t="shared" si="35"/>
        <v>Theory Session</v>
      </c>
      <c r="H248" s="24" t="str">
        <f t="shared" si="28"/>
        <v>Online</v>
      </c>
      <c r="I248" s="24">
        <v>0</v>
      </c>
      <c r="J248" s="24">
        <f t="shared" si="29"/>
        <v>0</v>
      </c>
      <c r="K248" s="35">
        <f t="shared" si="31"/>
        <v>0</v>
      </c>
      <c r="L248" s="24">
        <f t="shared" si="32"/>
        <v>0</v>
      </c>
      <c r="M248" s="41"/>
    </row>
    <row r="249" spans="1:13" s="34" customFormat="1" ht="15.75" customHeight="1" x14ac:dyDescent="0.3">
      <c r="A249" s="24" t="str">
        <f t="shared" si="30"/>
        <v>L030S001</v>
      </c>
      <c r="B249" s="32" t="s">
        <v>76</v>
      </c>
      <c r="C249" s="33" t="s">
        <v>43</v>
      </c>
      <c r="D249" s="33" t="s">
        <v>26</v>
      </c>
      <c r="E249" s="24" t="str">
        <f t="shared" si="35"/>
        <v>CS Fundamentals</v>
      </c>
      <c r="F249" s="24" t="str">
        <f t="shared" si="35"/>
        <v>IN_2</v>
      </c>
      <c r="G249" s="24" t="str">
        <f t="shared" si="35"/>
        <v>Theory Session</v>
      </c>
      <c r="H249" s="24" t="str">
        <f t="shared" si="28"/>
        <v>Online</v>
      </c>
      <c r="I249" s="24">
        <v>0</v>
      </c>
      <c r="J249" s="24">
        <f t="shared" si="29"/>
        <v>0</v>
      </c>
      <c r="K249" s="35">
        <f t="shared" si="31"/>
        <v>0</v>
      </c>
      <c r="L249" s="24">
        <f t="shared" si="32"/>
        <v>0</v>
      </c>
      <c r="M249" s="41"/>
    </row>
    <row r="250" spans="1:13" s="34" customFormat="1" ht="15.75" customHeight="1" x14ac:dyDescent="0.3">
      <c r="A250" s="24" t="str">
        <f t="shared" si="30"/>
        <v>L030S017</v>
      </c>
      <c r="B250" s="32" t="s">
        <v>76</v>
      </c>
      <c r="C250" s="33" t="s">
        <v>28</v>
      </c>
      <c r="D250" s="33" t="s">
        <v>26</v>
      </c>
      <c r="E250" s="24" t="str">
        <f t="shared" si="35"/>
        <v>Communication</v>
      </c>
      <c r="F250" s="24" t="str">
        <f t="shared" si="35"/>
        <v>IN_7</v>
      </c>
      <c r="G250" s="24" t="str">
        <f t="shared" si="35"/>
        <v>Practical</v>
      </c>
      <c r="H250" s="24" t="str">
        <f t="shared" si="28"/>
        <v>Offline</v>
      </c>
      <c r="I250" s="24">
        <v>15</v>
      </c>
      <c r="J250" s="24">
        <f t="shared" si="29"/>
        <v>15</v>
      </c>
      <c r="K250" s="35">
        <f t="shared" si="31"/>
        <v>0.75</v>
      </c>
      <c r="L250" s="24">
        <f t="shared" si="32"/>
        <v>0.30000000000000004</v>
      </c>
      <c r="M250" s="41"/>
    </row>
    <row r="251" spans="1:13" s="34" customFormat="1" ht="15.75" customHeight="1" x14ac:dyDescent="0.3">
      <c r="A251" s="24" t="str">
        <f t="shared" si="30"/>
        <v>L030S010</v>
      </c>
      <c r="B251" s="32" t="s">
        <v>76</v>
      </c>
      <c r="C251" s="33" t="s">
        <v>34</v>
      </c>
      <c r="D251" s="33" t="s">
        <v>26</v>
      </c>
      <c r="E251" s="24" t="str">
        <f t="shared" si="35"/>
        <v>Foundations of ML</v>
      </c>
      <c r="F251" s="24" t="str">
        <f t="shared" si="35"/>
        <v>IN_6</v>
      </c>
      <c r="G251" s="24" t="str">
        <f t="shared" si="35"/>
        <v>Theory Session</v>
      </c>
      <c r="H251" s="24" t="str">
        <f t="shared" si="28"/>
        <v>Offline</v>
      </c>
      <c r="I251" s="24">
        <v>0</v>
      </c>
      <c r="J251" s="24">
        <f t="shared" si="29"/>
        <v>0</v>
      </c>
      <c r="K251" s="35">
        <f t="shared" si="31"/>
        <v>0</v>
      </c>
      <c r="L251" s="24">
        <f t="shared" si="32"/>
        <v>0</v>
      </c>
      <c r="M251" s="41"/>
    </row>
    <row r="252" spans="1:13" s="34" customFormat="1" ht="15.75" customHeight="1" x14ac:dyDescent="0.3">
      <c r="A252" s="24" t="str">
        <f t="shared" si="30"/>
        <v>L030S009</v>
      </c>
      <c r="B252" s="32" t="s">
        <v>76</v>
      </c>
      <c r="C252" s="33" t="s">
        <v>45</v>
      </c>
      <c r="D252" s="33" t="s">
        <v>29</v>
      </c>
      <c r="E252" s="24" t="str">
        <f t="shared" si="35"/>
        <v>Communication</v>
      </c>
      <c r="F252" s="24" t="str">
        <f t="shared" si="35"/>
        <v>IN_6</v>
      </c>
      <c r="G252" s="24" t="str">
        <f t="shared" si="35"/>
        <v>Workshop</v>
      </c>
      <c r="H252" s="24" t="str">
        <f t="shared" si="28"/>
        <v>Offline</v>
      </c>
      <c r="I252" s="24">
        <v>0</v>
      </c>
      <c r="J252" s="24">
        <f t="shared" si="29"/>
        <v>0</v>
      </c>
      <c r="K252" s="35">
        <f t="shared" si="31"/>
        <v>0</v>
      </c>
      <c r="L252" s="24">
        <f t="shared" si="32"/>
        <v>0</v>
      </c>
      <c r="M252" s="41"/>
    </row>
    <row r="253" spans="1:13" s="34" customFormat="1" ht="15.75" customHeight="1" x14ac:dyDescent="0.3">
      <c r="A253" s="24" t="str">
        <f t="shared" si="30"/>
        <v>L030S013</v>
      </c>
      <c r="B253" s="32" t="s">
        <v>76</v>
      </c>
      <c r="C253" s="33" t="s">
        <v>44</v>
      </c>
      <c r="D253" s="33" t="s">
        <v>37</v>
      </c>
      <c r="E253" s="24" t="str">
        <f t="shared" si="35"/>
        <v>Algebra Basics</v>
      </c>
      <c r="F253" s="24" t="str">
        <f t="shared" si="35"/>
        <v>IN_3</v>
      </c>
      <c r="G253" s="24" t="str">
        <f t="shared" si="35"/>
        <v>Workshop</v>
      </c>
      <c r="H253" s="24" t="str">
        <f t="shared" si="28"/>
        <v>Offline</v>
      </c>
      <c r="I253" s="24">
        <v>0</v>
      </c>
      <c r="J253" s="24">
        <f t="shared" si="29"/>
        <v>0</v>
      </c>
      <c r="K253" s="35">
        <f t="shared" si="31"/>
        <v>0</v>
      </c>
      <c r="L253" s="24">
        <f t="shared" si="32"/>
        <v>0</v>
      </c>
      <c r="M253" s="41"/>
    </row>
    <row r="254" spans="1:13" s="34" customFormat="1" ht="15.75" customHeight="1" x14ac:dyDescent="0.3">
      <c r="A254" s="24" t="str">
        <f t="shared" si="30"/>
        <v>L030S002</v>
      </c>
      <c r="B254" s="32" t="s">
        <v>76</v>
      </c>
      <c r="C254" s="33" t="s">
        <v>31</v>
      </c>
      <c r="D254" s="33" t="s">
        <v>26</v>
      </c>
      <c r="E254" s="24" t="str">
        <f t="shared" si="35"/>
        <v>CS Fundamentals</v>
      </c>
      <c r="F254" s="24" t="str">
        <f t="shared" si="35"/>
        <v>IN_3</v>
      </c>
      <c r="G254" s="24" t="str">
        <f t="shared" si="35"/>
        <v>Practical</v>
      </c>
      <c r="H254" s="24" t="str">
        <f t="shared" si="28"/>
        <v>Offline</v>
      </c>
      <c r="I254" s="24">
        <v>10</v>
      </c>
      <c r="J254" s="24">
        <f t="shared" si="29"/>
        <v>10</v>
      </c>
      <c r="K254" s="35">
        <f t="shared" si="31"/>
        <v>0.5</v>
      </c>
      <c r="L254" s="24">
        <f t="shared" si="32"/>
        <v>0.2</v>
      </c>
      <c r="M254" s="41"/>
    </row>
    <row r="255" spans="1:13" s="34" customFormat="1" ht="15.75" customHeight="1" x14ac:dyDescent="0.3">
      <c r="A255" s="24" t="str">
        <f t="shared" si="30"/>
        <v>L030S020</v>
      </c>
      <c r="B255" s="32" t="s">
        <v>76</v>
      </c>
      <c r="C255" s="33" t="s">
        <v>30</v>
      </c>
      <c r="D255" s="33" t="s">
        <v>26</v>
      </c>
      <c r="E255" s="24" t="str">
        <f t="shared" si="35"/>
        <v>Foundations of ML</v>
      </c>
      <c r="F255" s="24" t="str">
        <f t="shared" si="35"/>
        <v>IN_4</v>
      </c>
      <c r="G255" s="24" t="str">
        <f t="shared" si="35"/>
        <v>Workshop</v>
      </c>
      <c r="H255" s="24" t="str">
        <f t="shared" si="28"/>
        <v>Online</v>
      </c>
      <c r="I255" s="24">
        <v>0</v>
      </c>
      <c r="J255" s="24">
        <f t="shared" si="29"/>
        <v>0</v>
      </c>
      <c r="K255" s="35">
        <f t="shared" si="31"/>
        <v>0</v>
      </c>
      <c r="L255" s="24">
        <f t="shared" si="32"/>
        <v>0</v>
      </c>
      <c r="M255" s="41"/>
    </row>
    <row r="256" spans="1:13" s="34" customFormat="1" ht="15.75" customHeight="1" x14ac:dyDescent="0.3">
      <c r="A256" s="24" t="str">
        <f t="shared" si="30"/>
        <v>L030S012</v>
      </c>
      <c r="B256" s="32" t="s">
        <v>76</v>
      </c>
      <c r="C256" s="33" t="s">
        <v>33</v>
      </c>
      <c r="D256" s="33" t="s">
        <v>29</v>
      </c>
      <c r="E256" s="24" t="str">
        <f t="shared" si="35"/>
        <v>Foundations of ML</v>
      </c>
      <c r="F256" s="24" t="str">
        <f t="shared" si="35"/>
        <v>IN_1</v>
      </c>
      <c r="G256" s="24" t="str">
        <f t="shared" si="35"/>
        <v>Workshop</v>
      </c>
      <c r="H256" s="24" t="str">
        <f t="shared" si="28"/>
        <v>Offline</v>
      </c>
      <c r="I256" s="24">
        <v>0</v>
      </c>
      <c r="J256" s="24">
        <f t="shared" si="29"/>
        <v>0</v>
      </c>
      <c r="K256" s="35">
        <f t="shared" si="31"/>
        <v>0</v>
      </c>
      <c r="L256" s="24">
        <f t="shared" si="32"/>
        <v>0</v>
      </c>
      <c r="M256" s="41"/>
    </row>
    <row r="257" spans="1:13" s="34" customFormat="1" ht="15.75" customHeight="1" x14ac:dyDescent="0.3">
      <c r="A257" s="24" t="str">
        <f t="shared" si="30"/>
        <v>L030S018</v>
      </c>
      <c r="B257" s="32" t="s">
        <v>76</v>
      </c>
      <c r="C257" s="33" t="s">
        <v>25</v>
      </c>
      <c r="D257" s="33" t="s">
        <v>26</v>
      </c>
      <c r="E257" s="24" t="str">
        <f t="shared" si="35"/>
        <v>CS Fundamentals</v>
      </c>
      <c r="F257" s="24" t="str">
        <f t="shared" si="35"/>
        <v>IN_5</v>
      </c>
      <c r="G257" s="24" t="str">
        <f t="shared" si="35"/>
        <v>Practical</v>
      </c>
      <c r="H257" s="24" t="str">
        <f t="shared" si="28"/>
        <v>Online</v>
      </c>
      <c r="I257" s="24">
        <v>0</v>
      </c>
      <c r="J257" s="24">
        <f t="shared" si="29"/>
        <v>0</v>
      </c>
      <c r="K257" s="35">
        <f t="shared" si="31"/>
        <v>0</v>
      </c>
      <c r="L257" s="24">
        <f t="shared" si="32"/>
        <v>0</v>
      </c>
      <c r="M257" s="41"/>
    </row>
    <row r="258" spans="1:13" s="34" customFormat="1" ht="15.75" customHeight="1" x14ac:dyDescent="0.3">
      <c r="A258" s="24" t="str">
        <f t="shared" si="30"/>
        <v>L030S011</v>
      </c>
      <c r="B258" s="32" t="s">
        <v>76</v>
      </c>
      <c r="C258" s="33" t="s">
        <v>39</v>
      </c>
      <c r="D258" s="33" t="s">
        <v>37</v>
      </c>
      <c r="E258" s="24" t="str">
        <f t="shared" si="35"/>
        <v>Algebra Basics</v>
      </c>
      <c r="F258" s="24" t="str">
        <f t="shared" si="35"/>
        <v>IN_4</v>
      </c>
      <c r="G258" s="24" t="str">
        <f t="shared" si="35"/>
        <v>Theory Session</v>
      </c>
      <c r="H258" s="24" t="str">
        <f t="shared" si="28"/>
        <v>Online</v>
      </c>
      <c r="I258" s="24">
        <v>14</v>
      </c>
      <c r="J258" s="24">
        <f t="shared" si="29"/>
        <v>14</v>
      </c>
      <c r="K258" s="35">
        <f t="shared" si="31"/>
        <v>0.7</v>
      </c>
      <c r="L258" s="24">
        <f t="shared" si="32"/>
        <v>0.27999999999999997</v>
      </c>
      <c r="M258" s="41"/>
    </row>
    <row r="259" spans="1:13" s="34" customFormat="1" ht="15.75" customHeight="1" x14ac:dyDescent="0.3">
      <c r="A259" s="24" t="str">
        <f t="shared" si="30"/>
        <v>L031S019</v>
      </c>
      <c r="B259" s="32" t="s">
        <v>77</v>
      </c>
      <c r="C259" s="33" t="s">
        <v>38</v>
      </c>
      <c r="D259" s="33" t="s">
        <v>26</v>
      </c>
      <c r="E259" s="24" t="str">
        <f t="shared" si="35"/>
        <v>CS Fundamentals</v>
      </c>
      <c r="F259" s="24" t="str">
        <f t="shared" si="35"/>
        <v>IN_6</v>
      </c>
      <c r="G259" s="24" t="str">
        <f t="shared" si="35"/>
        <v>Workshop</v>
      </c>
      <c r="H259" s="24" t="str">
        <f t="shared" ref="H259:H322" si="36">VLOOKUP($C259,Session_mode,H$1,FALSE)</f>
        <v>Offline</v>
      </c>
      <c r="I259" s="24">
        <v>9</v>
      </c>
      <c r="J259" s="24">
        <f t="shared" ref="J259:J322" si="37">IF(D259="Present", I259, IF(AND(D259="Absent", I259&lt;&gt;0), I259-5, I259))</f>
        <v>9</v>
      </c>
      <c r="K259" s="35">
        <f t="shared" si="31"/>
        <v>0.45</v>
      </c>
      <c r="L259" s="24">
        <f t="shared" si="32"/>
        <v>9.0000000000000011E-2</v>
      </c>
      <c r="M259" s="41"/>
    </row>
    <row r="260" spans="1:13" s="34" customFormat="1" ht="15.75" customHeight="1" x14ac:dyDescent="0.3">
      <c r="A260" s="24" t="str">
        <f t="shared" ref="A260:A323" si="38">B260&amp;C260</f>
        <v>L031S007</v>
      </c>
      <c r="B260" s="32" t="s">
        <v>77</v>
      </c>
      <c r="C260" s="33" t="s">
        <v>35</v>
      </c>
      <c r="D260" s="33" t="s">
        <v>26</v>
      </c>
      <c r="E260" s="24" t="str">
        <f t="shared" si="35"/>
        <v>Communication</v>
      </c>
      <c r="F260" s="24" t="str">
        <f t="shared" si="35"/>
        <v>IN_1</v>
      </c>
      <c r="G260" s="24" t="str">
        <f t="shared" si="35"/>
        <v>Practical</v>
      </c>
      <c r="H260" s="24" t="str">
        <f t="shared" si="36"/>
        <v>Offline</v>
      </c>
      <c r="I260" s="24">
        <v>0</v>
      </c>
      <c r="J260" s="24">
        <f t="shared" si="37"/>
        <v>0</v>
      </c>
      <c r="K260" s="35">
        <f t="shared" ref="K260:K323" si="39">J260/20</f>
        <v>0</v>
      </c>
      <c r="L260" s="24">
        <f t="shared" ref="L260:L323" si="40">IF(G260="Theory Session", K260*0.4,
 IF(G260="Practical",       K260*0.4,
 IF(G260="Workshop",        K260*0.2,
 0)))</f>
        <v>0</v>
      </c>
      <c r="M260" s="41"/>
    </row>
    <row r="261" spans="1:13" s="34" customFormat="1" ht="15.75" customHeight="1" x14ac:dyDescent="0.3">
      <c r="A261" s="24" t="str">
        <f t="shared" si="38"/>
        <v>L031S015</v>
      </c>
      <c r="B261" s="32" t="s">
        <v>77</v>
      </c>
      <c r="C261" s="33" t="s">
        <v>41</v>
      </c>
      <c r="D261" s="33" t="s">
        <v>26</v>
      </c>
      <c r="E261" s="24" t="str">
        <f t="shared" si="35"/>
        <v>Foundations of ML</v>
      </c>
      <c r="F261" s="24" t="str">
        <f t="shared" si="35"/>
        <v>IN_4</v>
      </c>
      <c r="G261" s="24" t="str">
        <f t="shared" si="35"/>
        <v>Practical</v>
      </c>
      <c r="H261" s="24" t="str">
        <f t="shared" si="36"/>
        <v>Offline</v>
      </c>
      <c r="I261" s="24">
        <v>0</v>
      </c>
      <c r="J261" s="24">
        <f t="shared" si="37"/>
        <v>0</v>
      </c>
      <c r="K261" s="35">
        <f t="shared" si="39"/>
        <v>0</v>
      </c>
      <c r="L261" s="24">
        <f t="shared" si="40"/>
        <v>0</v>
      </c>
      <c r="M261" s="41"/>
    </row>
    <row r="262" spans="1:13" s="34" customFormat="1" ht="15.75" customHeight="1" x14ac:dyDescent="0.3">
      <c r="A262" s="24" t="str">
        <f t="shared" si="38"/>
        <v>L031S002</v>
      </c>
      <c r="B262" s="32" t="s">
        <v>77</v>
      </c>
      <c r="C262" s="33" t="s">
        <v>31</v>
      </c>
      <c r="D262" s="33" t="s">
        <v>26</v>
      </c>
      <c r="E262" s="24" t="str">
        <f t="shared" si="35"/>
        <v>CS Fundamentals</v>
      </c>
      <c r="F262" s="24" t="str">
        <f t="shared" si="35"/>
        <v>IN_3</v>
      </c>
      <c r="G262" s="24" t="str">
        <f t="shared" si="35"/>
        <v>Practical</v>
      </c>
      <c r="H262" s="24" t="str">
        <f t="shared" si="36"/>
        <v>Offline</v>
      </c>
      <c r="I262" s="24">
        <v>14</v>
      </c>
      <c r="J262" s="24">
        <f t="shared" si="37"/>
        <v>14</v>
      </c>
      <c r="K262" s="35">
        <f t="shared" si="39"/>
        <v>0.7</v>
      </c>
      <c r="L262" s="24">
        <f t="shared" si="40"/>
        <v>0.27999999999999997</v>
      </c>
      <c r="M262" s="41"/>
    </row>
    <row r="263" spans="1:13" s="34" customFormat="1" ht="15.75" customHeight="1" x14ac:dyDescent="0.3">
      <c r="A263" s="24" t="str">
        <f t="shared" si="38"/>
        <v>L031S020</v>
      </c>
      <c r="B263" s="32" t="s">
        <v>77</v>
      </c>
      <c r="C263" s="33" t="s">
        <v>30</v>
      </c>
      <c r="D263" s="33" t="s">
        <v>37</v>
      </c>
      <c r="E263" s="24" t="str">
        <f t="shared" ref="E263:G282" si="41">VLOOKUP($C263,session_details,E$1,FALSE)</f>
        <v>Foundations of ML</v>
      </c>
      <c r="F263" s="24" t="str">
        <f t="shared" si="41"/>
        <v>IN_4</v>
      </c>
      <c r="G263" s="24" t="str">
        <f t="shared" si="41"/>
        <v>Workshop</v>
      </c>
      <c r="H263" s="24" t="str">
        <f t="shared" si="36"/>
        <v>Online</v>
      </c>
      <c r="I263" s="24">
        <v>4</v>
      </c>
      <c r="J263" s="24">
        <f t="shared" si="37"/>
        <v>4</v>
      </c>
      <c r="K263" s="35">
        <f t="shared" si="39"/>
        <v>0.2</v>
      </c>
      <c r="L263" s="24">
        <f t="shared" si="40"/>
        <v>4.0000000000000008E-2</v>
      </c>
      <c r="M263" s="41"/>
    </row>
    <row r="264" spans="1:13" s="34" customFormat="1" ht="15.75" customHeight="1" x14ac:dyDescent="0.3">
      <c r="A264" s="24" t="str">
        <f t="shared" si="38"/>
        <v>L031S006</v>
      </c>
      <c r="B264" s="32" t="s">
        <v>77</v>
      </c>
      <c r="C264" s="33" t="s">
        <v>40</v>
      </c>
      <c r="D264" s="33" t="s">
        <v>26</v>
      </c>
      <c r="E264" s="24" t="str">
        <f t="shared" si="41"/>
        <v>Communication</v>
      </c>
      <c r="F264" s="24" t="str">
        <f t="shared" si="41"/>
        <v>IN_6</v>
      </c>
      <c r="G264" s="24" t="str">
        <f t="shared" si="41"/>
        <v>Theory Session</v>
      </c>
      <c r="H264" s="24" t="str">
        <f t="shared" si="36"/>
        <v>Online</v>
      </c>
      <c r="I264" s="24">
        <v>0</v>
      </c>
      <c r="J264" s="24">
        <f t="shared" si="37"/>
        <v>0</v>
      </c>
      <c r="K264" s="35">
        <f t="shared" si="39"/>
        <v>0</v>
      </c>
      <c r="L264" s="24">
        <f t="shared" si="40"/>
        <v>0</v>
      </c>
      <c r="M264" s="41"/>
    </row>
    <row r="265" spans="1:13" s="34" customFormat="1" ht="15.75" customHeight="1" x14ac:dyDescent="0.3">
      <c r="A265" s="24" t="str">
        <f t="shared" si="38"/>
        <v>L031S005</v>
      </c>
      <c r="B265" s="32" t="s">
        <v>77</v>
      </c>
      <c r="C265" s="33" t="s">
        <v>36</v>
      </c>
      <c r="D265" s="33" t="s">
        <v>26</v>
      </c>
      <c r="E265" s="24" t="str">
        <f t="shared" si="41"/>
        <v>Algebra Basics</v>
      </c>
      <c r="F265" s="24" t="str">
        <f t="shared" si="41"/>
        <v>IN_4</v>
      </c>
      <c r="G265" s="24" t="str">
        <f t="shared" si="41"/>
        <v>Workshop</v>
      </c>
      <c r="H265" s="24" t="str">
        <f t="shared" si="36"/>
        <v>Online</v>
      </c>
      <c r="I265" s="24">
        <v>0</v>
      </c>
      <c r="J265" s="24">
        <f t="shared" si="37"/>
        <v>0</v>
      </c>
      <c r="K265" s="35">
        <f t="shared" si="39"/>
        <v>0</v>
      </c>
      <c r="L265" s="24">
        <f t="shared" si="40"/>
        <v>0</v>
      </c>
      <c r="M265" s="41"/>
    </row>
    <row r="266" spans="1:13" s="34" customFormat="1" ht="15.75" customHeight="1" x14ac:dyDescent="0.3">
      <c r="A266" s="24" t="str">
        <f t="shared" si="38"/>
        <v>L032S018</v>
      </c>
      <c r="B266" s="32" t="s">
        <v>78</v>
      </c>
      <c r="C266" s="33" t="s">
        <v>25</v>
      </c>
      <c r="D266" s="33" t="s">
        <v>26</v>
      </c>
      <c r="E266" s="24" t="str">
        <f t="shared" si="41"/>
        <v>CS Fundamentals</v>
      </c>
      <c r="F266" s="24" t="str">
        <f t="shared" si="41"/>
        <v>IN_5</v>
      </c>
      <c r="G266" s="24" t="str">
        <f t="shared" si="41"/>
        <v>Practical</v>
      </c>
      <c r="H266" s="24" t="str">
        <f t="shared" si="36"/>
        <v>Online</v>
      </c>
      <c r="I266" s="24">
        <v>0</v>
      </c>
      <c r="J266" s="24">
        <f t="shared" si="37"/>
        <v>0</v>
      </c>
      <c r="K266" s="35">
        <f t="shared" si="39"/>
        <v>0</v>
      </c>
      <c r="L266" s="24">
        <f t="shared" si="40"/>
        <v>0</v>
      </c>
      <c r="M266" s="41"/>
    </row>
    <row r="267" spans="1:13" s="34" customFormat="1" ht="15.75" customHeight="1" x14ac:dyDescent="0.3">
      <c r="A267" s="24" t="str">
        <f t="shared" si="38"/>
        <v>L032S013</v>
      </c>
      <c r="B267" s="32" t="s">
        <v>78</v>
      </c>
      <c r="C267" s="33" t="s">
        <v>44</v>
      </c>
      <c r="D267" s="33" t="s">
        <v>37</v>
      </c>
      <c r="E267" s="24" t="str">
        <f t="shared" si="41"/>
        <v>Algebra Basics</v>
      </c>
      <c r="F267" s="24" t="str">
        <f t="shared" si="41"/>
        <v>IN_3</v>
      </c>
      <c r="G267" s="24" t="str">
        <f t="shared" si="41"/>
        <v>Workshop</v>
      </c>
      <c r="H267" s="24" t="str">
        <f t="shared" si="36"/>
        <v>Offline</v>
      </c>
      <c r="I267" s="24">
        <v>12</v>
      </c>
      <c r="J267" s="24">
        <f t="shared" si="37"/>
        <v>12</v>
      </c>
      <c r="K267" s="35">
        <f t="shared" si="39"/>
        <v>0.6</v>
      </c>
      <c r="L267" s="24">
        <f t="shared" si="40"/>
        <v>0.12</v>
      </c>
      <c r="M267" s="41"/>
    </row>
    <row r="268" spans="1:13" s="34" customFormat="1" ht="15.75" customHeight="1" x14ac:dyDescent="0.3">
      <c r="A268" s="24" t="str">
        <f t="shared" si="38"/>
        <v>L032S006</v>
      </c>
      <c r="B268" s="32" t="s">
        <v>78</v>
      </c>
      <c r="C268" s="33" t="s">
        <v>40</v>
      </c>
      <c r="D268" s="33" t="s">
        <v>26</v>
      </c>
      <c r="E268" s="24" t="str">
        <f t="shared" si="41"/>
        <v>Communication</v>
      </c>
      <c r="F268" s="24" t="str">
        <f t="shared" si="41"/>
        <v>IN_6</v>
      </c>
      <c r="G268" s="24" t="str">
        <f t="shared" si="41"/>
        <v>Theory Session</v>
      </c>
      <c r="H268" s="24" t="str">
        <f t="shared" si="36"/>
        <v>Online</v>
      </c>
      <c r="I268" s="24">
        <v>8</v>
      </c>
      <c r="J268" s="24">
        <f t="shared" si="37"/>
        <v>8</v>
      </c>
      <c r="K268" s="35">
        <f t="shared" si="39"/>
        <v>0.4</v>
      </c>
      <c r="L268" s="24">
        <f t="shared" si="40"/>
        <v>0.16000000000000003</v>
      </c>
      <c r="M268" s="41"/>
    </row>
    <row r="269" spans="1:13" s="34" customFormat="1" ht="15.75" customHeight="1" x14ac:dyDescent="0.3">
      <c r="A269" s="24" t="str">
        <f t="shared" si="38"/>
        <v>L032S005</v>
      </c>
      <c r="B269" s="32" t="s">
        <v>78</v>
      </c>
      <c r="C269" s="33" t="s">
        <v>36</v>
      </c>
      <c r="D269" s="33" t="s">
        <v>29</v>
      </c>
      <c r="E269" s="24" t="str">
        <f t="shared" si="41"/>
        <v>Algebra Basics</v>
      </c>
      <c r="F269" s="24" t="str">
        <f t="shared" si="41"/>
        <v>IN_4</v>
      </c>
      <c r="G269" s="24" t="str">
        <f t="shared" si="41"/>
        <v>Workshop</v>
      </c>
      <c r="H269" s="24" t="str">
        <f t="shared" si="36"/>
        <v>Online</v>
      </c>
      <c r="I269" s="24">
        <v>17</v>
      </c>
      <c r="J269" s="24">
        <f t="shared" si="37"/>
        <v>12</v>
      </c>
      <c r="K269" s="35">
        <f t="shared" si="39"/>
        <v>0.6</v>
      </c>
      <c r="L269" s="24">
        <f t="shared" si="40"/>
        <v>0.12</v>
      </c>
      <c r="M269" s="41"/>
    </row>
    <row r="270" spans="1:13" s="34" customFormat="1" ht="15.75" customHeight="1" x14ac:dyDescent="0.3">
      <c r="A270" s="24" t="str">
        <f t="shared" si="38"/>
        <v>L032S014</v>
      </c>
      <c r="B270" s="32" t="s">
        <v>78</v>
      </c>
      <c r="C270" s="33" t="s">
        <v>46</v>
      </c>
      <c r="D270" s="33" t="s">
        <v>26</v>
      </c>
      <c r="E270" s="24" t="str">
        <f t="shared" si="41"/>
        <v>Foundations of ML</v>
      </c>
      <c r="F270" s="24" t="str">
        <f t="shared" si="41"/>
        <v>IN_2</v>
      </c>
      <c r="G270" s="24" t="str">
        <f t="shared" si="41"/>
        <v>Theory Session</v>
      </c>
      <c r="H270" s="24" t="str">
        <f t="shared" si="36"/>
        <v>Online</v>
      </c>
      <c r="I270" s="24">
        <v>4</v>
      </c>
      <c r="J270" s="24">
        <f t="shared" si="37"/>
        <v>4</v>
      </c>
      <c r="K270" s="35">
        <f t="shared" si="39"/>
        <v>0.2</v>
      </c>
      <c r="L270" s="24">
        <f t="shared" si="40"/>
        <v>8.0000000000000016E-2</v>
      </c>
      <c r="M270" s="41"/>
    </row>
    <row r="271" spans="1:13" s="34" customFormat="1" ht="15.75" customHeight="1" x14ac:dyDescent="0.3">
      <c r="A271" s="24" t="str">
        <f t="shared" si="38"/>
        <v>L032S008</v>
      </c>
      <c r="B271" s="32" t="s">
        <v>78</v>
      </c>
      <c r="C271" s="33" t="s">
        <v>32</v>
      </c>
      <c r="D271" s="33" t="s">
        <v>26</v>
      </c>
      <c r="E271" s="24" t="str">
        <f t="shared" si="41"/>
        <v>CS Fundamentals</v>
      </c>
      <c r="F271" s="24" t="str">
        <f t="shared" si="41"/>
        <v>IN_2</v>
      </c>
      <c r="G271" s="24" t="str">
        <f t="shared" si="41"/>
        <v>Practical</v>
      </c>
      <c r="H271" s="24" t="str">
        <f t="shared" si="36"/>
        <v>Online</v>
      </c>
      <c r="I271" s="24">
        <v>6</v>
      </c>
      <c r="J271" s="24">
        <f t="shared" si="37"/>
        <v>6</v>
      </c>
      <c r="K271" s="35">
        <f t="shared" si="39"/>
        <v>0.3</v>
      </c>
      <c r="L271" s="24">
        <f t="shared" si="40"/>
        <v>0.12</v>
      </c>
      <c r="M271" s="41"/>
    </row>
    <row r="272" spans="1:13" s="34" customFormat="1" ht="15.75" customHeight="1" x14ac:dyDescent="0.3">
      <c r="A272" s="24" t="str">
        <f t="shared" si="38"/>
        <v>L032S001</v>
      </c>
      <c r="B272" s="32" t="s">
        <v>78</v>
      </c>
      <c r="C272" s="33" t="s">
        <v>43</v>
      </c>
      <c r="D272" s="33" t="s">
        <v>37</v>
      </c>
      <c r="E272" s="24" t="str">
        <f t="shared" si="41"/>
        <v>CS Fundamentals</v>
      </c>
      <c r="F272" s="24" t="str">
        <f t="shared" si="41"/>
        <v>IN_2</v>
      </c>
      <c r="G272" s="24" t="str">
        <f t="shared" si="41"/>
        <v>Theory Session</v>
      </c>
      <c r="H272" s="24" t="str">
        <f t="shared" si="36"/>
        <v>Online</v>
      </c>
      <c r="I272" s="24">
        <v>0</v>
      </c>
      <c r="J272" s="24">
        <f t="shared" si="37"/>
        <v>0</v>
      </c>
      <c r="K272" s="35">
        <f t="shared" si="39"/>
        <v>0</v>
      </c>
      <c r="L272" s="24">
        <f t="shared" si="40"/>
        <v>0</v>
      </c>
      <c r="M272" s="41"/>
    </row>
    <row r="273" spans="1:13" s="34" customFormat="1" ht="15.75" customHeight="1" x14ac:dyDescent="0.3">
      <c r="A273" s="24" t="str">
        <f t="shared" si="38"/>
        <v>L032S015</v>
      </c>
      <c r="B273" s="32" t="s">
        <v>78</v>
      </c>
      <c r="C273" s="33" t="s">
        <v>41</v>
      </c>
      <c r="D273" s="33" t="s">
        <v>26</v>
      </c>
      <c r="E273" s="24" t="str">
        <f t="shared" si="41"/>
        <v>Foundations of ML</v>
      </c>
      <c r="F273" s="24" t="str">
        <f t="shared" si="41"/>
        <v>IN_4</v>
      </c>
      <c r="G273" s="24" t="str">
        <f t="shared" si="41"/>
        <v>Practical</v>
      </c>
      <c r="H273" s="24" t="str">
        <f t="shared" si="36"/>
        <v>Offline</v>
      </c>
      <c r="I273" s="24">
        <v>18</v>
      </c>
      <c r="J273" s="24">
        <f t="shared" si="37"/>
        <v>18</v>
      </c>
      <c r="K273" s="35">
        <f t="shared" si="39"/>
        <v>0.9</v>
      </c>
      <c r="L273" s="24">
        <f t="shared" si="40"/>
        <v>0.36000000000000004</v>
      </c>
      <c r="M273" s="41"/>
    </row>
    <row r="274" spans="1:13" s="34" customFormat="1" ht="15.75" customHeight="1" x14ac:dyDescent="0.3">
      <c r="A274" s="24" t="str">
        <f t="shared" si="38"/>
        <v>L033S001</v>
      </c>
      <c r="B274" s="32" t="s">
        <v>79</v>
      </c>
      <c r="C274" s="33" t="s">
        <v>43</v>
      </c>
      <c r="D274" s="33" t="s">
        <v>26</v>
      </c>
      <c r="E274" s="24" t="str">
        <f t="shared" si="41"/>
        <v>CS Fundamentals</v>
      </c>
      <c r="F274" s="24" t="str">
        <f t="shared" si="41"/>
        <v>IN_2</v>
      </c>
      <c r="G274" s="24" t="str">
        <f t="shared" si="41"/>
        <v>Theory Session</v>
      </c>
      <c r="H274" s="24" t="str">
        <f t="shared" si="36"/>
        <v>Online</v>
      </c>
      <c r="I274" s="24">
        <v>0</v>
      </c>
      <c r="J274" s="24">
        <f t="shared" si="37"/>
        <v>0</v>
      </c>
      <c r="K274" s="35">
        <f t="shared" si="39"/>
        <v>0</v>
      </c>
      <c r="L274" s="24">
        <f t="shared" si="40"/>
        <v>0</v>
      </c>
      <c r="M274" s="41"/>
    </row>
    <row r="275" spans="1:13" s="34" customFormat="1" ht="15.75" customHeight="1" x14ac:dyDescent="0.3">
      <c r="A275" s="24" t="str">
        <f t="shared" si="38"/>
        <v>L033S012</v>
      </c>
      <c r="B275" s="32" t="s">
        <v>79</v>
      </c>
      <c r="C275" s="33" t="s">
        <v>33</v>
      </c>
      <c r="D275" s="33" t="s">
        <v>26</v>
      </c>
      <c r="E275" s="24" t="str">
        <f t="shared" si="41"/>
        <v>Foundations of ML</v>
      </c>
      <c r="F275" s="24" t="str">
        <f t="shared" si="41"/>
        <v>IN_1</v>
      </c>
      <c r="G275" s="24" t="str">
        <f t="shared" si="41"/>
        <v>Workshop</v>
      </c>
      <c r="H275" s="24" t="str">
        <f t="shared" si="36"/>
        <v>Offline</v>
      </c>
      <c r="I275" s="24">
        <v>0</v>
      </c>
      <c r="J275" s="24">
        <f t="shared" si="37"/>
        <v>0</v>
      </c>
      <c r="K275" s="35">
        <f t="shared" si="39"/>
        <v>0</v>
      </c>
      <c r="L275" s="24">
        <f t="shared" si="40"/>
        <v>0</v>
      </c>
      <c r="M275" s="41"/>
    </row>
    <row r="276" spans="1:13" s="34" customFormat="1" ht="15.75" customHeight="1" x14ac:dyDescent="0.3">
      <c r="A276" s="24" t="str">
        <f t="shared" si="38"/>
        <v>L033S011</v>
      </c>
      <c r="B276" s="32" t="s">
        <v>79</v>
      </c>
      <c r="C276" s="33" t="s">
        <v>39</v>
      </c>
      <c r="D276" s="33" t="s">
        <v>26</v>
      </c>
      <c r="E276" s="24" t="str">
        <f t="shared" si="41"/>
        <v>Algebra Basics</v>
      </c>
      <c r="F276" s="24" t="str">
        <f t="shared" si="41"/>
        <v>IN_4</v>
      </c>
      <c r="G276" s="24" t="str">
        <f t="shared" si="41"/>
        <v>Theory Session</v>
      </c>
      <c r="H276" s="24" t="str">
        <f t="shared" si="36"/>
        <v>Online</v>
      </c>
      <c r="I276" s="24">
        <v>0</v>
      </c>
      <c r="J276" s="24">
        <f t="shared" si="37"/>
        <v>0</v>
      </c>
      <c r="K276" s="35">
        <f t="shared" si="39"/>
        <v>0</v>
      </c>
      <c r="L276" s="24">
        <f t="shared" si="40"/>
        <v>0</v>
      </c>
      <c r="M276" s="41"/>
    </row>
    <row r="277" spans="1:13" s="34" customFormat="1" ht="15.75" customHeight="1" x14ac:dyDescent="0.3">
      <c r="A277" s="24" t="str">
        <f t="shared" si="38"/>
        <v>L033S016</v>
      </c>
      <c r="B277" s="32" t="s">
        <v>79</v>
      </c>
      <c r="C277" s="33" t="s">
        <v>27</v>
      </c>
      <c r="D277" s="33" t="s">
        <v>29</v>
      </c>
      <c r="E277" s="24" t="str">
        <f t="shared" si="41"/>
        <v>Algebra Basics</v>
      </c>
      <c r="F277" s="24" t="str">
        <f t="shared" si="41"/>
        <v>IN_2</v>
      </c>
      <c r="G277" s="24" t="str">
        <f t="shared" si="41"/>
        <v>Workshop</v>
      </c>
      <c r="H277" s="24" t="str">
        <f t="shared" si="36"/>
        <v>Offline</v>
      </c>
      <c r="I277" s="24">
        <v>14</v>
      </c>
      <c r="J277" s="24">
        <f t="shared" si="37"/>
        <v>9</v>
      </c>
      <c r="K277" s="35">
        <f t="shared" si="39"/>
        <v>0.45</v>
      </c>
      <c r="L277" s="24">
        <f t="shared" si="40"/>
        <v>9.0000000000000011E-2</v>
      </c>
      <c r="M277" s="41"/>
    </row>
    <row r="278" spans="1:13" s="34" customFormat="1" ht="15.75" customHeight="1" x14ac:dyDescent="0.3">
      <c r="A278" s="24" t="str">
        <f t="shared" si="38"/>
        <v>L033S018</v>
      </c>
      <c r="B278" s="32" t="s">
        <v>79</v>
      </c>
      <c r="C278" s="33" t="s">
        <v>25</v>
      </c>
      <c r="D278" s="33" t="s">
        <v>26</v>
      </c>
      <c r="E278" s="24" t="str">
        <f t="shared" si="41"/>
        <v>CS Fundamentals</v>
      </c>
      <c r="F278" s="24" t="str">
        <f t="shared" si="41"/>
        <v>IN_5</v>
      </c>
      <c r="G278" s="24" t="str">
        <f t="shared" si="41"/>
        <v>Practical</v>
      </c>
      <c r="H278" s="24" t="str">
        <f t="shared" si="36"/>
        <v>Online</v>
      </c>
      <c r="I278" s="24">
        <v>0</v>
      </c>
      <c r="J278" s="24">
        <f t="shared" si="37"/>
        <v>0</v>
      </c>
      <c r="K278" s="35">
        <f t="shared" si="39"/>
        <v>0</v>
      </c>
      <c r="L278" s="24">
        <f t="shared" si="40"/>
        <v>0</v>
      </c>
      <c r="M278" s="41"/>
    </row>
    <row r="279" spans="1:13" s="34" customFormat="1" ht="15.75" customHeight="1" x14ac:dyDescent="0.3">
      <c r="A279" s="24" t="str">
        <f t="shared" si="38"/>
        <v>L033S009</v>
      </c>
      <c r="B279" s="32" t="s">
        <v>79</v>
      </c>
      <c r="C279" s="33" t="s">
        <v>45</v>
      </c>
      <c r="D279" s="33" t="s">
        <v>29</v>
      </c>
      <c r="E279" s="24" t="str">
        <f t="shared" si="41"/>
        <v>Communication</v>
      </c>
      <c r="F279" s="24" t="str">
        <f t="shared" si="41"/>
        <v>IN_6</v>
      </c>
      <c r="G279" s="24" t="str">
        <f t="shared" si="41"/>
        <v>Workshop</v>
      </c>
      <c r="H279" s="24" t="str">
        <f t="shared" si="36"/>
        <v>Offline</v>
      </c>
      <c r="I279" s="24">
        <v>0</v>
      </c>
      <c r="J279" s="24">
        <f t="shared" si="37"/>
        <v>0</v>
      </c>
      <c r="K279" s="35">
        <f t="shared" si="39"/>
        <v>0</v>
      </c>
      <c r="L279" s="24">
        <f t="shared" si="40"/>
        <v>0</v>
      </c>
      <c r="M279" s="41"/>
    </row>
    <row r="280" spans="1:13" s="34" customFormat="1" ht="15.75" customHeight="1" x14ac:dyDescent="0.3">
      <c r="A280" s="24" t="str">
        <f t="shared" si="38"/>
        <v>L034S010</v>
      </c>
      <c r="B280" s="32" t="s">
        <v>80</v>
      </c>
      <c r="C280" s="33" t="s">
        <v>34</v>
      </c>
      <c r="D280" s="33" t="s">
        <v>29</v>
      </c>
      <c r="E280" s="24" t="str">
        <f t="shared" si="41"/>
        <v>Foundations of ML</v>
      </c>
      <c r="F280" s="24" t="str">
        <f t="shared" si="41"/>
        <v>IN_6</v>
      </c>
      <c r="G280" s="24" t="str">
        <f t="shared" si="41"/>
        <v>Theory Session</v>
      </c>
      <c r="H280" s="24" t="str">
        <f t="shared" si="36"/>
        <v>Offline</v>
      </c>
      <c r="I280" s="24">
        <v>4</v>
      </c>
      <c r="J280" s="24">
        <f t="shared" si="37"/>
        <v>-1</v>
      </c>
      <c r="K280" s="35">
        <f t="shared" si="39"/>
        <v>-0.05</v>
      </c>
      <c r="L280" s="24">
        <f t="shared" si="40"/>
        <v>-2.0000000000000004E-2</v>
      </c>
      <c r="M280" s="41"/>
    </row>
    <row r="281" spans="1:13" s="34" customFormat="1" ht="15.75" customHeight="1" x14ac:dyDescent="0.3">
      <c r="A281" s="24" t="str">
        <f t="shared" si="38"/>
        <v>L034S013</v>
      </c>
      <c r="B281" s="32" t="s">
        <v>80</v>
      </c>
      <c r="C281" s="33" t="s">
        <v>44</v>
      </c>
      <c r="D281" s="33" t="s">
        <v>26</v>
      </c>
      <c r="E281" s="24" t="str">
        <f t="shared" si="41"/>
        <v>Algebra Basics</v>
      </c>
      <c r="F281" s="24" t="str">
        <f t="shared" si="41"/>
        <v>IN_3</v>
      </c>
      <c r="G281" s="24" t="str">
        <f t="shared" si="41"/>
        <v>Workshop</v>
      </c>
      <c r="H281" s="24" t="str">
        <f t="shared" si="36"/>
        <v>Offline</v>
      </c>
      <c r="I281" s="24">
        <v>8</v>
      </c>
      <c r="J281" s="24">
        <f t="shared" si="37"/>
        <v>8</v>
      </c>
      <c r="K281" s="35">
        <f t="shared" si="39"/>
        <v>0.4</v>
      </c>
      <c r="L281" s="24">
        <f t="shared" si="40"/>
        <v>8.0000000000000016E-2</v>
      </c>
      <c r="M281" s="41"/>
    </row>
    <row r="282" spans="1:13" s="34" customFormat="1" ht="15.75" customHeight="1" x14ac:dyDescent="0.3">
      <c r="A282" s="24" t="str">
        <f t="shared" si="38"/>
        <v>L034S018</v>
      </c>
      <c r="B282" s="32" t="s">
        <v>80</v>
      </c>
      <c r="C282" s="33" t="s">
        <v>25</v>
      </c>
      <c r="D282" s="33" t="s">
        <v>26</v>
      </c>
      <c r="E282" s="24" t="str">
        <f t="shared" si="41"/>
        <v>CS Fundamentals</v>
      </c>
      <c r="F282" s="24" t="str">
        <f t="shared" si="41"/>
        <v>IN_5</v>
      </c>
      <c r="G282" s="24" t="str">
        <f t="shared" si="41"/>
        <v>Practical</v>
      </c>
      <c r="H282" s="24" t="str">
        <f t="shared" si="36"/>
        <v>Online</v>
      </c>
      <c r="I282" s="24">
        <v>18</v>
      </c>
      <c r="J282" s="24">
        <f t="shared" si="37"/>
        <v>18</v>
      </c>
      <c r="K282" s="35">
        <f t="shared" si="39"/>
        <v>0.9</v>
      </c>
      <c r="L282" s="24">
        <f t="shared" si="40"/>
        <v>0.36000000000000004</v>
      </c>
      <c r="M282" s="41"/>
    </row>
    <row r="283" spans="1:13" s="34" customFormat="1" ht="15.75" customHeight="1" x14ac:dyDescent="0.3">
      <c r="A283" s="24" t="str">
        <f t="shared" si="38"/>
        <v>L034S015</v>
      </c>
      <c r="B283" s="32" t="s">
        <v>80</v>
      </c>
      <c r="C283" s="33" t="s">
        <v>41</v>
      </c>
      <c r="D283" s="33" t="s">
        <v>37</v>
      </c>
      <c r="E283" s="24" t="str">
        <f t="shared" ref="E283:G302" si="42">VLOOKUP($C283,session_details,E$1,FALSE)</f>
        <v>Foundations of ML</v>
      </c>
      <c r="F283" s="24" t="str">
        <f t="shared" si="42"/>
        <v>IN_4</v>
      </c>
      <c r="G283" s="24" t="str">
        <f t="shared" si="42"/>
        <v>Practical</v>
      </c>
      <c r="H283" s="24" t="str">
        <f t="shared" si="36"/>
        <v>Offline</v>
      </c>
      <c r="I283" s="24">
        <v>17</v>
      </c>
      <c r="J283" s="24">
        <f t="shared" si="37"/>
        <v>17</v>
      </c>
      <c r="K283" s="35">
        <f t="shared" si="39"/>
        <v>0.85</v>
      </c>
      <c r="L283" s="24">
        <f t="shared" si="40"/>
        <v>0.34</v>
      </c>
      <c r="M283" s="41"/>
    </row>
    <row r="284" spans="1:13" s="34" customFormat="1" ht="15.75" customHeight="1" x14ac:dyDescent="0.3">
      <c r="A284" s="24" t="str">
        <f t="shared" si="38"/>
        <v>L034S005</v>
      </c>
      <c r="B284" s="32" t="s">
        <v>80</v>
      </c>
      <c r="C284" s="33" t="s">
        <v>36</v>
      </c>
      <c r="D284" s="33" t="s">
        <v>26</v>
      </c>
      <c r="E284" s="24" t="str">
        <f t="shared" si="42"/>
        <v>Algebra Basics</v>
      </c>
      <c r="F284" s="24" t="str">
        <f t="shared" si="42"/>
        <v>IN_4</v>
      </c>
      <c r="G284" s="24" t="str">
        <f t="shared" si="42"/>
        <v>Workshop</v>
      </c>
      <c r="H284" s="24" t="str">
        <f t="shared" si="36"/>
        <v>Online</v>
      </c>
      <c r="I284" s="24">
        <v>0</v>
      </c>
      <c r="J284" s="24">
        <f t="shared" si="37"/>
        <v>0</v>
      </c>
      <c r="K284" s="35">
        <f t="shared" si="39"/>
        <v>0</v>
      </c>
      <c r="L284" s="24">
        <f t="shared" si="40"/>
        <v>0</v>
      </c>
      <c r="M284" s="41"/>
    </row>
    <row r="285" spans="1:13" s="34" customFormat="1" ht="15.75" customHeight="1" x14ac:dyDescent="0.3">
      <c r="A285" s="24" t="str">
        <f t="shared" si="38"/>
        <v>L034S016</v>
      </c>
      <c r="B285" s="32" t="s">
        <v>80</v>
      </c>
      <c r="C285" s="33" t="s">
        <v>27</v>
      </c>
      <c r="D285" s="33" t="s">
        <v>26</v>
      </c>
      <c r="E285" s="24" t="str">
        <f t="shared" si="42"/>
        <v>Algebra Basics</v>
      </c>
      <c r="F285" s="24" t="str">
        <f t="shared" si="42"/>
        <v>IN_2</v>
      </c>
      <c r="G285" s="24" t="str">
        <f t="shared" si="42"/>
        <v>Workshop</v>
      </c>
      <c r="H285" s="24" t="str">
        <f t="shared" si="36"/>
        <v>Offline</v>
      </c>
      <c r="I285" s="24">
        <v>11</v>
      </c>
      <c r="J285" s="24">
        <f t="shared" si="37"/>
        <v>11</v>
      </c>
      <c r="K285" s="35">
        <f t="shared" si="39"/>
        <v>0.55000000000000004</v>
      </c>
      <c r="L285" s="24">
        <f t="shared" si="40"/>
        <v>0.11000000000000001</v>
      </c>
      <c r="M285" s="41"/>
    </row>
    <row r="286" spans="1:13" s="34" customFormat="1" ht="15.75" customHeight="1" x14ac:dyDescent="0.3">
      <c r="A286" s="24" t="str">
        <f t="shared" si="38"/>
        <v>L034S011</v>
      </c>
      <c r="B286" s="32" t="s">
        <v>80</v>
      </c>
      <c r="C286" s="33" t="s">
        <v>39</v>
      </c>
      <c r="D286" s="33" t="s">
        <v>26</v>
      </c>
      <c r="E286" s="24" t="str">
        <f t="shared" si="42"/>
        <v>Algebra Basics</v>
      </c>
      <c r="F286" s="24" t="str">
        <f t="shared" si="42"/>
        <v>IN_4</v>
      </c>
      <c r="G286" s="24" t="str">
        <f t="shared" si="42"/>
        <v>Theory Session</v>
      </c>
      <c r="H286" s="24" t="str">
        <f t="shared" si="36"/>
        <v>Online</v>
      </c>
      <c r="I286" s="24">
        <v>0</v>
      </c>
      <c r="J286" s="24">
        <f t="shared" si="37"/>
        <v>0</v>
      </c>
      <c r="K286" s="35">
        <f t="shared" si="39"/>
        <v>0</v>
      </c>
      <c r="L286" s="24">
        <f t="shared" si="40"/>
        <v>0</v>
      </c>
      <c r="M286" s="41"/>
    </row>
    <row r="287" spans="1:13" s="34" customFormat="1" ht="15.75" customHeight="1" x14ac:dyDescent="0.3">
      <c r="A287" s="24" t="str">
        <f t="shared" si="38"/>
        <v>L034S003</v>
      </c>
      <c r="B287" s="32" t="s">
        <v>80</v>
      </c>
      <c r="C287" s="33" t="s">
        <v>50</v>
      </c>
      <c r="D287" s="33" t="s">
        <v>26</v>
      </c>
      <c r="E287" s="24" t="str">
        <f t="shared" si="42"/>
        <v>Algebra Basics</v>
      </c>
      <c r="F287" s="24" t="str">
        <f t="shared" si="42"/>
        <v>IN_7</v>
      </c>
      <c r="G287" s="24" t="str">
        <f t="shared" si="42"/>
        <v>Workshop</v>
      </c>
      <c r="H287" s="24" t="str">
        <f t="shared" si="36"/>
        <v>Offline</v>
      </c>
      <c r="I287" s="24">
        <v>0</v>
      </c>
      <c r="J287" s="24">
        <f t="shared" si="37"/>
        <v>0</v>
      </c>
      <c r="K287" s="35">
        <f t="shared" si="39"/>
        <v>0</v>
      </c>
      <c r="L287" s="24">
        <f t="shared" si="40"/>
        <v>0</v>
      </c>
      <c r="M287" s="41"/>
    </row>
    <row r="288" spans="1:13" s="34" customFormat="1" ht="15.75" customHeight="1" x14ac:dyDescent="0.3">
      <c r="A288" s="24" t="str">
        <f t="shared" si="38"/>
        <v>L034S019</v>
      </c>
      <c r="B288" s="32" t="s">
        <v>80</v>
      </c>
      <c r="C288" s="33" t="s">
        <v>38</v>
      </c>
      <c r="D288" s="33" t="s">
        <v>26</v>
      </c>
      <c r="E288" s="24" t="str">
        <f t="shared" si="42"/>
        <v>CS Fundamentals</v>
      </c>
      <c r="F288" s="24" t="str">
        <f t="shared" si="42"/>
        <v>IN_6</v>
      </c>
      <c r="G288" s="24" t="str">
        <f t="shared" si="42"/>
        <v>Workshop</v>
      </c>
      <c r="H288" s="24" t="str">
        <f t="shared" si="36"/>
        <v>Offline</v>
      </c>
      <c r="I288" s="24">
        <v>0</v>
      </c>
      <c r="J288" s="24">
        <f t="shared" si="37"/>
        <v>0</v>
      </c>
      <c r="K288" s="35">
        <f t="shared" si="39"/>
        <v>0</v>
      </c>
      <c r="L288" s="24">
        <f t="shared" si="40"/>
        <v>0</v>
      </c>
      <c r="M288" s="41"/>
    </row>
    <row r="289" spans="1:13" s="34" customFormat="1" ht="15.75" customHeight="1" x14ac:dyDescent="0.3">
      <c r="A289" s="24" t="str">
        <f t="shared" si="38"/>
        <v>L034S020</v>
      </c>
      <c r="B289" s="32" t="s">
        <v>80</v>
      </c>
      <c r="C289" s="33" t="s">
        <v>30</v>
      </c>
      <c r="D289" s="33" t="s">
        <v>26</v>
      </c>
      <c r="E289" s="24" t="str">
        <f t="shared" si="42"/>
        <v>Foundations of ML</v>
      </c>
      <c r="F289" s="24" t="str">
        <f t="shared" si="42"/>
        <v>IN_4</v>
      </c>
      <c r="G289" s="24" t="str">
        <f t="shared" si="42"/>
        <v>Workshop</v>
      </c>
      <c r="H289" s="24" t="str">
        <f t="shared" si="36"/>
        <v>Online</v>
      </c>
      <c r="I289" s="24">
        <v>20</v>
      </c>
      <c r="J289" s="24">
        <f t="shared" si="37"/>
        <v>20</v>
      </c>
      <c r="K289" s="35">
        <f t="shared" si="39"/>
        <v>1</v>
      </c>
      <c r="L289" s="24">
        <f t="shared" si="40"/>
        <v>0.2</v>
      </c>
      <c r="M289" s="41"/>
    </row>
    <row r="290" spans="1:13" s="34" customFormat="1" ht="15.75" customHeight="1" x14ac:dyDescent="0.3">
      <c r="A290" s="24" t="str">
        <f t="shared" si="38"/>
        <v>L034S004</v>
      </c>
      <c r="B290" s="32" t="s">
        <v>80</v>
      </c>
      <c r="C290" s="33" t="s">
        <v>47</v>
      </c>
      <c r="D290" s="33" t="s">
        <v>26</v>
      </c>
      <c r="E290" s="24" t="str">
        <f t="shared" si="42"/>
        <v>Foundations of ML</v>
      </c>
      <c r="F290" s="24" t="str">
        <f t="shared" si="42"/>
        <v>IN_4</v>
      </c>
      <c r="G290" s="24" t="str">
        <f t="shared" si="42"/>
        <v>Workshop</v>
      </c>
      <c r="H290" s="24" t="str">
        <f t="shared" si="36"/>
        <v>Online</v>
      </c>
      <c r="I290" s="24">
        <v>0</v>
      </c>
      <c r="J290" s="24">
        <f t="shared" si="37"/>
        <v>0</v>
      </c>
      <c r="K290" s="35">
        <f t="shared" si="39"/>
        <v>0</v>
      </c>
      <c r="L290" s="24">
        <f t="shared" si="40"/>
        <v>0</v>
      </c>
      <c r="M290" s="41"/>
    </row>
    <row r="291" spans="1:13" s="34" customFormat="1" ht="15.75" customHeight="1" x14ac:dyDescent="0.3">
      <c r="A291" s="24" t="str">
        <f t="shared" si="38"/>
        <v>L034S007</v>
      </c>
      <c r="B291" s="32" t="s">
        <v>80</v>
      </c>
      <c r="C291" s="33" t="s">
        <v>35</v>
      </c>
      <c r="D291" s="33" t="s">
        <v>26</v>
      </c>
      <c r="E291" s="24" t="str">
        <f t="shared" si="42"/>
        <v>Communication</v>
      </c>
      <c r="F291" s="24" t="str">
        <f t="shared" si="42"/>
        <v>IN_1</v>
      </c>
      <c r="G291" s="24" t="str">
        <f t="shared" si="42"/>
        <v>Practical</v>
      </c>
      <c r="H291" s="24" t="str">
        <f t="shared" si="36"/>
        <v>Offline</v>
      </c>
      <c r="I291" s="24">
        <v>0</v>
      </c>
      <c r="J291" s="24">
        <f t="shared" si="37"/>
        <v>0</v>
      </c>
      <c r="K291" s="35">
        <f t="shared" si="39"/>
        <v>0</v>
      </c>
      <c r="L291" s="24">
        <f t="shared" si="40"/>
        <v>0</v>
      </c>
      <c r="M291" s="41"/>
    </row>
    <row r="292" spans="1:13" s="34" customFormat="1" ht="15.75" customHeight="1" x14ac:dyDescent="0.3">
      <c r="A292" s="24" t="str">
        <f t="shared" si="38"/>
        <v>L034S014</v>
      </c>
      <c r="B292" s="32" t="s">
        <v>80</v>
      </c>
      <c r="C292" s="33" t="s">
        <v>46</v>
      </c>
      <c r="D292" s="33" t="s">
        <v>26</v>
      </c>
      <c r="E292" s="24" t="str">
        <f t="shared" si="42"/>
        <v>Foundations of ML</v>
      </c>
      <c r="F292" s="24" t="str">
        <f t="shared" si="42"/>
        <v>IN_2</v>
      </c>
      <c r="G292" s="24" t="str">
        <f t="shared" si="42"/>
        <v>Theory Session</v>
      </c>
      <c r="H292" s="24" t="str">
        <f t="shared" si="36"/>
        <v>Online</v>
      </c>
      <c r="I292" s="24">
        <v>0</v>
      </c>
      <c r="J292" s="24">
        <f t="shared" si="37"/>
        <v>0</v>
      </c>
      <c r="K292" s="35">
        <f t="shared" si="39"/>
        <v>0</v>
      </c>
      <c r="L292" s="24">
        <f t="shared" si="40"/>
        <v>0</v>
      </c>
      <c r="M292" s="41"/>
    </row>
    <row r="293" spans="1:13" s="34" customFormat="1" ht="15.75" customHeight="1" x14ac:dyDescent="0.3">
      <c r="A293" s="24" t="str">
        <f t="shared" si="38"/>
        <v>L035S011</v>
      </c>
      <c r="B293" s="32" t="s">
        <v>81</v>
      </c>
      <c r="C293" s="33" t="s">
        <v>39</v>
      </c>
      <c r="D293" s="33" t="s">
        <v>29</v>
      </c>
      <c r="E293" s="24" t="str">
        <f t="shared" si="42"/>
        <v>Algebra Basics</v>
      </c>
      <c r="F293" s="24" t="str">
        <f t="shared" si="42"/>
        <v>IN_4</v>
      </c>
      <c r="G293" s="24" t="str">
        <f t="shared" si="42"/>
        <v>Theory Session</v>
      </c>
      <c r="H293" s="24" t="str">
        <f t="shared" si="36"/>
        <v>Online</v>
      </c>
      <c r="I293" s="24">
        <v>0</v>
      </c>
      <c r="J293" s="24">
        <f t="shared" si="37"/>
        <v>0</v>
      </c>
      <c r="K293" s="35">
        <f t="shared" si="39"/>
        <v>0</v>
      </c>
      <c r="L293" s="24">
        <f t="shared" si="40"/>
        <v>0</v>
      </c>
      <c r="M293" s="41"/>
    </row>
    <row r="294" spans="1:13" s="34" customFormat="1" ht="15.75" customHeight="1" x14ac:dyDescent="0.3">
      <c r="A294" s="24" t="str">
        <f t="shared" si="38"/>
        <v>L035S005</v>
      </c>
      <c r="B294" s="32" t="s">
        <v>81</v>
      </c>
      <c r="C294" s="33" t="s">
        <v>36</v>
      </c>
      <c r="D294" s="33" t="s">
        <v>26</v>
      </c>
      <c r="E294" s="24" t="str">
        <f t="shared" si="42"/>
        <v>Algebra Basics</v>
      </c>
      <c r="F294" s="24" t="str">
        <f t="shared" si="42"/>
        <v>IN_4</v>
      </c>
      <c r="G294" s="24" t="str">
        <f t="shared" si="42"/>
        <v>Workshop</v>
      </c>
      <c r="H294" s="24" t="str">
        <f t="shared" si="36"/>
        <v>Online</v>
      </c>
      <c r="I294" s="24">
        <v>0</v>
      </c>
      <c r="J294" s="24">
        <f t="shared" si="37"/>
        <v>0</v>
      </c>
      <c r="K294" s="35">
        <f t="shared" si="39"/>
        <v>0</v>
      </c>
      <c r="L294" s="24">
        <f t="shared" si="40"/>
        <v>0</v>
      </c>
      <c r="M294" s="41"/>
    </row>
    <row r="295" spans="1:13" s="34" customFormat="1" ht="15.75" customHeight="1" x14ac:dyDescent="0.3">
      <c r="A295" s="24" t="str">
        <f t="shared" si="38"/>
        <v>L035S020</v>
      </c>
      <c r="B295" s="32" t="s">
        <v>81</v>
      </c>
      <c r="C295" s="33" t="s">
        <v>30</v>
      </c>
      <c r="D295" s="33" t="s">
        <v>26</v>
      </c>
      <c r="E295" s="24" t="str">
        <f t="shared" si="42"/>
        <v>Foundations of ML</v>
      </c>
      <c r="F295" s="24" t="str">
        <f t="shared" si="42"/>
        <v>IN_4</v>
      </c>
      <c r="G295" s="24" t="str">
        <f t="shared" si="42"/>
        <v>Workshop</v>
      </c>
      <c r="H295" s="24" t="str">
        <f t="shared" si="36"/>
        <v>Online</v>
      </c>
      <c r="I295" s="24">
        <v>0</v>
      </c>
      <c r="J295" s="24">
        <f t="shared" si="37"/>
        <v>0</v>
      </c>
      <c r="K295" s="35">
        <f t="shared" si="39"/>
        <v>0</v>
      </c>
      <c r="L295" s="24">
        <f t="shared" si="40"/>
        <v>0</v>
      </c>
      <c r="M295" s="41"/>
    </row>
    <row r="296" spans="1:13" s="34" customFormat="1" ht="15.75" customHeight="1" x14ac:dyDescent="0.3">
      <c r="A296" s="24" t="str">
        <f t="shared" si="38"/>
        <v>L035S008</v>
      </c>
      <c r="B296" s="32" t="s">
        <v>81</v>
      </c>
      <c r="C296" s="33" t="s">
        <v>32</v>
      </c>
      <c r="D296" s="33" t="s">
        <v>29</v>
      </c>
      <c r="E296" s="24" t="str">
        <f t="shared" si="42"/>
        <v>CS Fundamentals</v>
      </c>
      <c r="F296" s="24" t="str">
        <f t="shared" si="42"/>
        <v>IN_2</v>
      </c>
      <c r="G296" s="24" t="str">
        <f t="shared" si="42"/>
        <v>Practical</v>
      </c>
      <c r="H296" s="24" t="str">
        <f t="shared" si="36"/>
        <v>Online</v>
      </c>
      <c r="I296" s="24">
        <v>0</v>
      </c>
      <c r="J296" s="24">
        <f t="shared" si="37"/>
        <v>0</v>
      </c>
      <c r="K296" s="35">
        <f t="shared" si="39"/>
        <v>0</v>
      </c>
      <c r="L296" s="24">
        <f t="shared" si="40"/>
        <v>0</v>
      </c>
      <c r="M296" s="41"/>
    </row>
    <row r="297" spans="1:13" s="34" customFormat="1" ht="15.75" customHeight="1" x14ac:dyDescent="0.3">
      <c r="A297" s="24" t="str">
        <f t="shared" si="38"/>
        <v>L035S001</v>
      </c>
      <c r="B297" s="32" t="s">
        <v>81</v>
      </c>
      <c r="C297" s="33" t="s">
        <v>43</v>
      </c>
      <c r="D297" s="33" t="s">
        <v>26</v>
      </c>
      <c r="E297" s="24" t="str">
        <f t="shared" si="42"/>
        <v>CS Fundamentals</v>
      </c>
      <c r="F297" s="24" t="str">
        <f t="shared" si="42"/>
        <v>IN_2</v>
      </c>
      <c r="G297" s="24" t="str">
        <f t="shared" si="42"/>
        <v>Theory Session</v>
      </c>
      <c r="H297" s="24" t="str">
        <f t="shared" si="36"/>
        <v>Online</v>
      </c>
      <c r="I297" s="24">
        <v>9</v>
      </c>
      <c r="J297" s="24">
        <f t="shared" si="37"/>
        <v>9</v>
      </c>
      <c r="K297" s="35">
        <f t="shared" si="39"/>
        <v>0.45</v>
      </c>
      <c r="L297" s="24">
        <f t="shared" si="40"/>
        <v>0.18000000000000002</v>
      </c>
      <c r="M297" s="41"/>
    </row>
    <row r="298" spans="1:13" s="34" customFormat="1" ht="15.75" customHeight="1" x14ac:dyDescent="0.3">
      <c r="A298" s="24" t="str">
        <f t="shared" si="38"/>
        <v>L035S006</v>
      </c>
      <c r="B298" s="32" t="s">
        <v>81</v>
      </c>
      <c r="C298" s="33" t="s">
        <v>40</v>
      </c>
      <c r="D298" s="33" t="s">
        <v>37</v>
      </c>
      <c r="E298" s="24" t="str">
        <f t="shared" si="42"/>
        <v>Communication</v>
      </c>
      <c r="F298" s="24" t="str">
        <f t="shared" si="42"/>
        <v>IN_6</v>
      </c>
      <c r="G298" s="24" t="str">
        <f t="shared" si="42"/>
        <v>Theory Session</v>
      </c>
      <c r="H298" s="24" t="str">
        <f t="shared" si="36"/>
        <v>Online</v>
      </c>
      <c r="I298" s="24">
        <v>0</v>
      </c>
      <c r="J298" s="24">
        <f t="shared" si="37"/>
        <v>0</v>
      </c>
      <c r="K298" s="35">
        <f t="shared" si="39"/>
        <v>0</v>
      </c>
      <c r="L298" s="24">
        <f t="shared" si="40"/>
        <v>0</v>
      </c>
      <c r="M298" s="41"/>
    </row>
    <row r="299" spans="1:13" s="34" customFormat="1" ht="15.75" customHeight="1" x14ac:dyDescent="0.3">
      <c r="A299" s="24" t="str">
        <f t="shared" si="38"/>
        <v>L035S007</v>
      </c>
      <c r="B299" s="32" t="s">
        <v>81</v>
      </c>
      <c r="C299" s="33" t="s">
        <v>35</v>
      </c>
      <c r="D299" s="33" t="s">
        <v>26</v>
      </c>
      <c r="E299" s="24" t="str">
        <f t="shared" si="42"/>
        <v>Communication</v>
      </c>
      <c r="F299" s="24" t="str">
        <f t="shared" si="42"/>
        <v>IN_1</v>
      </c>
      <c r="G299" s="24" t="str">
        <f t="shared" si="42"/>
        <v>Practical</v>
      </c>
      <c r="H299" s="24" t="str">
        <f t="shared" si="36"/>
        <v>Offline</v>
      </c>
      <c r="I299" s="24">
        <v>12</v>
      </c>
      <c r="J299" s="24">
        <f t="shared" si="37"/>
        <v>12</v>
      </c>
      <c r="K299" s="35">
        <f t="shared" si="39"/>
        <v>0.6</v>
      </c>
      <c r="L299" s="24">
        <f t="shared" si="40"/>
        <v>0.24</v>
      </c>
      <c r="M299" s="41"/>
    </row>
    <row r="300" spans="1:13" s="34" customFormat="1" ht="15.75" customHeight="1" x14ac:dyDescent="0.3">
      <c r="A300" s="24" t="str">
        <f t="shared" si="38"/>
        <v>L035S018</v>
      </c>
      <c r="B300" s="32" t="s">
        <v>81</v>
      </c>
      <c r="C300" s="33" t="s">
        <v>25</v>
      </c>
      <c r="D300" s="33" t="s">
        <v>29</v>
      </c>
      <c r="E300" s="24" t="str">
        <f t="shared" si="42"/>
        <v>CS Fundamentals</v>
      </c>
      <c r="F300" s="24" t="str">
        <f t="shared" si="42"/>
        <v>IN_5</v>
      </c>
      <c r="G300" s="24" t="str">
        <f t="shared" si="42"/>
        <v>Practical</v>
      </c>
      <c r="H300" s="24" t="str">
        <f t="shared" si="36"/>
        <v>Online</v>
      </c>
      <c r="I300" s="24">
        <v>5</v>
      </c>
      <c r="J300" s="24">
        <f t="shared" si="37"/>
        <v>0</v>
      </c>
      <c r="K300" s="35">
        <f t="shared" si="39"/>
        <v>0</v>
      </c>
      <c r="L300" s="24">
        <f t="shared" si="40"/>
        <v>0</v>
      </c>
      <c r="M300" s="41"/>
    </row>
    <row r="301" spans="1:13" s="34" customFormat="1" ht="15.75" customHeight="1" x14ac:dyDescent="0.3">
      <c r="A301" s="24" t="str">
        <f t="shared" si="38"/>
        <v>L035S015</v>
      </c>
      <c r="B301" s="32" t="s">
        <v>81</v>
      </c>
      <c r="C301" s="33" t="s">
        <v>41</v>
      </c>
      <c r="D301" s="33" t="s">
        <v>26</v>
      </c>
      <c r="E301" s="24" t="str">
        <f t="shared" si="42"/>
        <v>Foundations of ML</v>
      </c>
      <c r="F301" s="24" t="str">
        <f t="shared" si="42"/>
        <v>IN_4</v>
      </c>
      <c r="G301" s="24" t="str">
        <f t="shared" si="42"/>
        <v>Practical</v>
      </c>
      <c r="H301" s="24" t="str">
        <f t="shared" si="36"/>
        <v>Offline</v>
      </c>
      <c r="I301" s="24">
        <v>0</v>
      </c>
      <c r="J301" s="24">
        <f t="shared" si="37"/>
        <v>0</v>
      </c>
      <c r="K301" s="35">
        <f t="shared" si="39"/>
        <v>0</v>
      </c>
      <c r="L301" s="24">
        <f t="shared" si="40"/>
        <v>0</v>
      </c>
      <c r="M301" s="41"/>
    </row>
    <row r="302" spans="1:13" s="34" customFormat="1" ht="15.75" customHeight="1" x14ac:dyDescent="0.3">
      <c r="A302" s="24" t="str">
        <f t="shared" si="38"/>
        <v>L035S010</v>
      </c>
      <c r="B302" s="32" t="s">
        <v>81</v>
      </c>
      <c r="C302" s="33" t="s">
        <v>34</v>
      </c>
      <c r="D302" s="33" t="s">
        <v>26</v>
      </c>
      <c r="E302" s="24" t="str">
        <f t="shared" si="42"/>
        <v>Foundations of ML</v>
      </c>
      <c r="F302" s="24" t="str">
        <f t="shared" si="42"/>
        <v>IN_6</v>
      </c>
      <c r="G302" s="24" t="str">
        <f t="shared" si="42"/>
        <v>Theory Session</v>
      </c>
      <c r="H302" s="24" t="str">
        <f t="shared" si="36"/>
        <v>Offline</v>
      </c>
      <c r="I302" s="24">
        <v>0</v>
      </c>
      <c r="J302" s="24">
        <f t="shared" si="37"/>
        <v>0</v>
      </c>
      <c r="K302" s="35">
        <f t="shared" si="39"/>
        <v>0</v>
      </c>
      <c r="L302" s="24">
        <f t="shared" si="40"/>
        <v>0</v>
      </c>
      <c r="M302" s="41"/>
    </row>
    <row r="303" spans="1:13" s="34" customFormat="1" ht="15.75" customHeight="1" x14ac:dyDescent="0.3">
      <c r="A303" s="24" t="str">
        <f t="shared" si="38"/>
        <v>L035S013</v>
      </c>
      <c r="B303" s="32" t="s">
        <v>81</v>
      </c>
      <c r="C303" s="33" t="s">
        <v>44</v>
      </c>
      <c r="D303" s="33" t="s">
        <v>29</v>
      </c>
      <c r="E303" s="24" t="str">
        <f t="shared" ref="E303:G322" si="43">VLOOKUP($C303,session_details,E$1,FALSE)</f>
        <v>Algebra Basics</v>
      </c>
      <c r="F303" s="24" t="str">
        <f t="shared" si="43"/>
        <v>IN_3</v>
      </c>
      <c r="G303" s="24" t="str">
        <f t="shared" si="43"/>
        <v>Workshop</v>
      </c>
      <c r="H303" s="24" t="str">
        <f t="shared" si="36"/>
        <v>Offline</v>
      </c>
      <c r="I303" s="24">
        <v>0</v>
      </c>
      <c r="J303" s="24">
        <f t="shared" si="37"/>
        <v>0</v>
      </c>
      <c r="K303" s="35">
        <f t="shared" si="39"/>
        <v>0</v>
      </c>
      <c r="L303" s="24">
        <f t="shared" si="40"/>
        <v>0</v>
      </c>
      <c r="M303" s="41"/>
    </row>
    <row r="304" spans="1:13" s="34" customFormat="1" ht="15.75" customHeight="1" x14ac:dyDescent="0.3">
      <c r="A304" s="24" t="str">
        <f t="shared" si="38"/>
        <v>L036S003</v>
      </c>
      <c r="B304" s="32" t="s">
        <v>82</v>
      </c>
      <c r="C304" s="33" t="s">
        <v>50</v>
      </c>
      <c r="D304" s="33" t="s">
        <v>26</v>
      </c>
      <c r="E304" s="24" t="str">
        <f t="shared" si="43"/>
        <v>Algebra Basics</v>
      </c>
      <c r="F304" s="24" t="str">
        <f t="shared" si="43"/>
        <v>IN_7</v>
      </c>
      <c r="G304" s="24" t="str">
        <f t="shared" si="43"/>
        <v>Workshop</v>
      </c>
      <c r="H304" s="24" t="str">
        <f t="shared" si="36"/>
        <v>Offline</v>
      </c>
      <c r="I304" s="24">
        <v>17</v>
      </c>
      <c r="J304" s="24">
        <f t="shared" si="37"/>
        <v>17</v>
      </c>
      <c r="K304" s="35">
        <f t="shared" si="39"/>
        <v>0.85</v>
      </c>
      <c r="L304" s="24">
        <f t="shared" si="40"/>
        <v>0.17</v>
      </c>
      <c r="M304" s="41"/>
    </row>
    <row r="305" spans="1:13" s="34" customFormat="1" ht="15.75" customHeight="1" x14ac:dyDescent="0.3">
      <c r="A305" s="24" t="str">
        <f t="shared" si="38"/>
        <v>L036S016</v>
      </c>
      <c r="B305" s="32" t="s">
        <v>82</v>
      </c>
      <c r="C305" s="33" t="s">
        <v>27</v>
      </c>
      <c r="D305" s="33" t="s">
        <v>29</v>
      </c>
      <c r="E305" s="24" t="str">
        <f t="shared" si="43"/>
        <v>Algebra Basics</v>
      </c>
      <c r="F305" s="24" t="str">
        <f t="shared" si="43"/>
        <v>IN_2</v>
      </c>
      <c r="G305" s="24" t="str">
        <f t="shared" si="43"/>
        <v>Workshop</v>
      </c>
      <c r="H305" s="24" t="str">
        <f t="shared" si="36"/>
        <v>Offline</v>
      </c>
      <c r="I305" s="24">
        <v>0</v>
      </c>
      <c r="J305" s="24">
        <f t="shared" si="37"/>
        <v>0</v>
      </c>
      <c r="K305" s="35">
        <f t="shared" si="39"/>
        <v>0</v>
      </c>
      <c r="L305" s="24">
        <f t="shared" si="40"/>
        <v>0</v>
      </c>
      <c r="M305" s="41"/>
    </row>
    <row r="306" spans="1:13" s="34" customFormat="1" ht="15.75" customHeight="1" x14ac:dyDescent="0.3">
      <c r="A306" s="24" t="str">
        <f t="shared" si="38"/>
        <v>L036S020</v>
      </c>
      <c r="B306" s="32" t="s">
        <v>82</v>
      </c>
      <c r="C306" s="33" t="s">
        <v>30</v>
      </c>
      <c r="D306" s="33" t="s">
        <v>37</v>
      </c>
      <c r="E306" s="24" t="str">
        <f t="shared" si="43"/>
        <v>Foundations of ML</v>
      </c>
      <c r="F306" s="24" t="str">
        <f t="shared" si="43"/>
        <v>IN_4</v>
      </c>
      <c r="G306" s="24" t="str">
        <f t="shared" si="43"/>
        <v>Workshop</v>
      </c>
      <c r="H306" s="24" t="str">
        <f t="shared" si="36"/>
        <v>Online</v>
      </c>
      <c r="I306" s="24">
        <v>0</v>
      </c>
      <c r="J306" s="24">
        <f t="shared" si="37"/>
        <v>0</v>
      </c>
      <c r="K306" s="35">
        <f t="shared" si="39"/>
        <v>0</v>
      </c>
      <c r="L306" s="24">
        <f t="shared" si="40"/>
        <v>0</v>
      </c>
      <c r="M306" s="41"/>
    </row>
    <row r="307" spans="1:13" s="34" customFormat="1" ht="15.75" customHeight="1" x14ac:dyDescent="0.3">
      <c r="A307" s="24" t="str">
        <f t="shared" si="38"/>
        <v>L036S005</v>
      </c>
      <c r="B307" s="32" t="s">
        <v>82</v>
      </c>
      <c r="C307" s="33" t="s">
        <v>36</v>
      </c>
      <c r="D307" s="33" t="s">
        <v>26</v>
      </c>
      <c r="E307" s="24" t="str">
        <f t="shared" si="43"/>
        <v>Algebra Basics</v>
      </c>
      <c r="F307" s="24" t="str">
        <f t="shared" si="43"/>
        <v>IN_4</v>
      </c>
      <c r="G307" s="24" t="str">
        <f t="shared" si="43"/>
        <v>Workshop</v>
      </c>
      <c r="H307" s="24" t="str">
        <f t="shared" si="36"/>
        <v>Online</v>
      </c>
      <c r="I307" s="24">
        <v>11</v>
      </c>
      <c r="J307" s="24">
        <f t="shared" si="37"/>
        <v>11</v>
      </c>
      <c r="K307" s="35">
        <f t="shared" si="39"/>
        <v>0.55000000000000004</v>
      </c>
      <c r="L307" s="24">
        <f t="shared" si="40"/>
        <v>0.11000000000000001</v>
      </c>
      <c r="M307" s="41"/>
    </row>
    <row r="308" spans="1:13" s="34" customFormat="1" ht="15.75" customHeight="1" x14ac:dyDescent="0.3">
      <c r="A308" s="24" t="str">
        <f t="shared" si="38"/>
        <v>L036S006</v>
      </c>
      <c r="B308" s="32" t="s">
        <v>82</v>
      </c>
      <c r="C308" s="33" t="s">
        <v>40</v>
      </c>
      <c r="D308" s="33" t="s">
        <v>26</v>
      </c>
      <c r="E308" s="24" t="str">
        <f t="shared" si="43"/>
        <v>Communication</v>
      </c>
      <c r="F308" s="24" t="str">
        <f t="shared" si="43"/>
        <v>IN_6</v>
      </c>
      <c r="G308" s="24" t="str">
        <f t="shared" si="43"/>
        <v>Theory Session</v>
      </c>
      <c r="H308" s="24" t="str">
        <f t="shared" si="36"/>
        <v>Online</v>
      </c>
      <c r="I308" s="24">
        <v>0</v>
      </c>
      <c r="J308" s="24">
        <f t="shared" si="37"/>
        <v>0</v>
      </c>
      <c r="K308" s="35">
        <f t="shared" si="39"/>
        <v>0</v>
      </c>
      <c r="L308" s="24">
        <f t="shared" si="40"/>
        <v>0</v>
      </c>
      <c r="M308" s="41"/>
    </row>
    <row r="309" spans="1:13" s="34" customFormat="1" ht="15.75" customHeight="1" x14ac:dyDescent="0.3">
      <c r="A309" s="24" t="str">
        <f t="shared" si="38"/>
        <v>L036S017</v>
      </c>
      <c r="B309" s="32" t="s">
        <v>82</v>
      </c>
      <c r="C309" s="33" t="s">
        <v>28</v>
      </c>
      <c r="D309" s="33" t="s">
        <v>29</v>
      </c>
      <c r="E309" s="24" t="str">
        <f t="shared" si="43"/>
        <v>Communication</v>
      </c>
      <c r="F309" s="24" t="str">
        <f t="shared" si="43"/>
        <v>IN_7</v>
      </c>
      <c r="G309" s="24" t="str">
        <f t="shared" si="43"/>
        <v>Practical</v>
      </c>
      <c r="H309" s="24" t="str">
        <f t="shared" si="36"/>
        <v>Offline</v>
      </c>
      <c r="I309" s="24">
        <v>0</v>
      </c>
      <c r="J309" s="24">
        <f t="shared" si="37"/>
        <v>0</v>
      </c>
      <c r="K309" s="35">
        <f t="shared" si="39"/>
        <v>0</v>
      </c>
      <c r="L309" s="24">
        <f t="shared" si="40"/>
        <v>0</v>
      </c>
      <c r="M309" s="41"/>
    </row>
    <row r="310" spans="1:13" s="34" customFormat="1" ht="15.75" customHeight="1" x14ac:dyDescent="0.3">
      <c r="A310" s="24" t="str">
        <f t="shared" si="38"/>
        <v>L036S010</v>
      </c>
      <c r="B310" s="32" t="s">
        <v>82</v>
      </c>
      <c r="C310" s="33" t="s">
        <v>34</v>
      </c>
      <c r="D310" s="33" t="s">
        <v>29</v>
      </c>
      <c r="E310" s="24" t="str">
        <f t="shared" si="43"/>
        <v>Foundations of ML</v>
      </c>
      <c r="F310" s="24" t="str">
        <f t="shared" si="43"/>
        <v>IN_6</v>
      </c>
      <c r="G310" s="24" t="str">
        <f t="shared" si="43"/>
        <v>Theory Session</v>
      </c>
      <c r="H310" s="24" t="str">
        <f t="shared" si="36"/>
        <v>Offline</v>
      </c>
      <c r="I310" s="24">
        <v>5</v>
      </c>
      <c r="J310" s="24">
        <f t="shared" si="37"/>
        <v>0</v>
      </c>
      <c r="K310" s="35">
        <f t="shared" si="39"/>
        <v>0</v>
      </c>
      <c r="L310" s="24">
        <f t="shared" si="40"/>
        <v>0</v>
      </c>
      <c r="M310" s="41"/>
    </row>
    <row r="311" spans="1:13" s="34" customFormat="1" ht="15.75" customHeight="1" x14ac:dyDescent="0.3">
      <c r="A311" s="24" t="str">
        <f t="shared" si="38"/>
        <v>L036S007</v>
      </c>
      <c r="B311" s="32" t="s">
        <v>82</v>
      </c>
      <c r="C311" s="33" t="s">
        <v>35</v>
      </c>
      <c r="D311" s="33" t="s">
        <v>37</v>
      </c>
      <c r="E311" s="24" t="str">
        <f t="shared" si="43"/>
        <v>Communication</v>
      </c>
      <c r="F311" s="24" t="str">
        <f t="shared" si="43"/>
        <v>IN_1</v>
      </c>
      <c r="G311" s="24" t="str">
        <f t="shared" si="43"/>
        <v>Practical</v>
      </c>
      <c r="H311" s="24" t="str">
        <f t="shared" si="36"/>
        <v>Offline</v>
      </c>
      <c r="I311" s="24">
        <v>0</v>
      </c>
      <c r="J311" s="24">
        <f t="shared" si="37"/>
        <v>0</v>
      </c>
      <c r="K311" s="35">
        <f t="shared" si="39"/>
        <v>0</v>
      </c>
      <c r="L311" s="24">
        <f t="shared" si="40"/>
        <v>0</v>
      </c>
      <c r="M311" s="41"/>
    </row>
    <row r="312" spans="1:13" s="34" customFormat="1" ht="15.75" customHeight="1" x14ac:dyDescent="0.3">
      <c r="A312" s="24" t="str">
        <f t="shared" si="38"/>
        <v>L036S018</v>
      </c>
      <c r="B312" s="32" t="s">
        <v>82</v>
      </c>
      <c r="C312" s="33" t="s">
        <v>25</v>
      </c>
      <c r="D312" s="33" t="s">
        <v>29</v>
      </c>
      <c r="E312" s="24" t="str">
        <f t="shared" si="43"/>
        <v>CS Fundamentals</v>
      </c>
      <c r="F312" s="24" t="str">
        <f t="shared" si="43"/>
        <v>IN_5</v>
      </c>
      <c r="G312" s="24" t="str">
        <f t="shared" si="43"/>
        <v>Practical</v>
      </c>
      <c r="H312" s="24" t="str">
        <f t="shared" si="36"/>
        <v>Online</v>
      </c>
      <c r="I312" s="24">
        <v>10</v>
      </c>
      <c r="J312" s="24">
        <f t="shared" si="37"/>
        <v>5</v>
      </c>
      <c r="K312" s="35">
        <f t="shared" si="39"/>
        <v>0.25</v>
      </c>
      <c r="L312" s="24">
        <f t="shared" si="40"/>
        <v>0.1</v>
      </c>
      <c r="M312" s="41"/>
    </row>
    <row r="313" spans="1:13" s="34" customFormat="1" ht="15.75" customHeight="1" x14ac:dyDescent="0.3">
      <c r="A313" s="24" t="str">
        <f t="shared" si="38"/>
        <v>L037S009</v>
      </c>
      <c r="B313" s="32" t="s">
        <v>83</v>
      </c>
      <c r="C313" s="33" t="s">
        <v>45</v>
      </c>
      <c r="D313" s="33" t="s">
        <v>26</v>
      </c>
      <c r="E313" s="24" t="str">
        <f t="shared" si="43"/>
        <v>Communication</v>
      </c>
      <c r="F313" s="24" t="str">
        <f t="shared" si="43"/>
        <v>IN_6</v>
      </c>
      <c r="G313" s="24" t="str">
        <f t="shared" si="43"/>
        <v>Workshop</v>
      </c>
      <c r="H313" s="24" t="str">
        <f t="shared" si="36"/>
        <v>Offline</v>
      </c>
      <c r="I313" s="24">
        <v>0</v>
      </c>
      <c r="J313" s="24">
        <f t="shared" si="37"/>
        <v>0</v>
      </c>
      <c r="K313" s="35">
        <f t="shared" si="39"/>
        <v>0</v>
      </c>
      <c r="L313" s="24">
        <f t="shared" si="40"/>
        <v>0</v>
      </c>
      <c r="M313" s="41"/>
    </row>
    <row r="314" spans="1:13" s="34" customFormat="1" ht="15.75" customHeight="1" x14ac:dyDescent="0.3">
      <c r="A314" s="24" t="str">
        <f t="shared" si="38"/>
        <v>L037S017</v>
      </c>
      <c r="B314" s="32" t="s">
        <v>83</v>
      </c>
      <c r="C314" s="33" t="s">
        <v>28</v>
      </c>
      <c r="D314" s="33" t="s">
        <v>29</v>
      </c>
      <c r="E314" s="24" t="str">
        <f t="shared" si="43"/>
        <v>Communication</v>
      </c>
      <c r="F314" s="24" t="str">
        <f t="shared" si="43"/>
        <v>IN_7</v>
      </c>
      <c r="G314" s="24" t="str">
        <f t="shared" si="43"/>
        <v>Practical</v>
      </c>
      <c r="H314" s="24" t="str">
        <f t="shared" si="36"/>
        <v>Offline</v>
      </c>
      <c r="I314" s="24">
        <v>20</v>
      </c>
      <c r="J314" s="24">
        <f t="shared" si="37"/>
        <v>15</v>
      </c>
      <c r="K314" s="35">
        <f t="shared" si="39"/>
        <v>0.75</v>
      </c>
      <c r="L314" s="24">
        <f t="shared" si="40"/>
        <v>0.30000000000000004</v>
      </c>
      <c r="M314" s="41"/>
    </row>
    <row r="315" spans="1:13" s="34" customFormat="1" ht="15.75" customHeight="1" x14ac:dyDescent="0.3">
      <c r="A315" s="24" t="str">
        <f t="shared" si="38"/>
        <v>L037S004</v>
      </c>
      <c r="B315" s="32" t="s">
        <v>83</v>
      </c>
      <c r="C315" s="33" t="s">
        <v>47</v>
      </c>
      <c r="D315" s="33" t="s">
        <v>26</v>
      </c>
      <c r="E315" s="24" t="str">
        <f t="shared" si="43"/>
        <v>Foundations of ML</v>
      </c>
      <c r="F315" s="24" t="str">
        <f t="shared" si="43"/>
        <v>IN_4</v>
      </c>
      <c r="G315" s="24" t="str">
        <f t="shared" si="43"/>
        <v>Workshop</v>
      </c>
      <c r="H315" s="24" t="str">
        <f t="shared" si="36"/>
        <v>Online</v>
      </c>
      <c r="I315" s="24">
        <v>0</v>
      </c>
      <c r="J315" s="24">
        <f t="shared" si="37"/>
        <v>0</v>
      </c>
      <c r="K315" s="35">
        <f t="shared" si="39"/>
        <v>0</v>
      </c>
      <c r="L315" s="24">
        <f t="shared" si="40"/>
        <v>0</v>
      </c>
      <c r="M315" s="41"/>
    </row>
    <row r="316" spans="1:13" s="34" customFormat="1" ht="15.75" customHeight="1" x14ac:dyDescent="0.3">
      <c r="A316" s="24" t="str">
        <f t="shared" si="38"/>
        <v>L037S013</v>
      </c>
      <c r="B316" s="32" t="s">
        <v>83</v>
      </c>
      <c r="C316" s="33" t="s">
        <v>44</v>
      </c>
      <c r="D316" s="33" t="s">
        <v>37</v>
      </c>
      <c r="E316" s="24" t="str">
        <f t="shared" si="43"/>
        <v>Algebra Basics</v>
      </c>
      <c r="F316" s="24" t="str">
        <f t="shared" si="43"/>
        <v>IN_3</v>
      </c>
      <c r="G316" s="24" t="str">
        <f t="shared" si="43"/>
        <v>Workshop</v>
      </c>
      <c r="H316" s="24" t="str">
        <f t="shared" si="36"/>
        <v>Offline</v>
      </c>
      <c r="I316" s="24">
        <v>0</v>
      </c>
      <c r="J316" s="24">
        <f t="shared" si="37"/>
        <v>0</v>
      </c>
      <c r="K316" s="35">
        <f t="shared" si="39"/>
        <v>0</v>
      </c>
      <c r="L316" s="24">
        <f t="shared" si="40"/>
        <v>0</v>
      </c>
      <c r="M316" s="41"/>
    </row>
    <row r="317" spans="1:13" s="34" customFormat="1" ht="15.75" customHeight="1" x14ac:dyDescent="0.3">
      <c r="A317" s="24" t="str">
        <f t="shared" si="38"/>
        <v>L037S020</v>
      </c>
      <c r="B317" s="32" t="s">
        <v>83</v>
      </c>
      <c r="C317" s="33" t="s">
        <v>30</v>
      </c>
      <c r="D317" s="33" t="s">
        <v>26</v>
      </c>
      <c r="E317" s="24" t="str">
        <f t="shared" si="43"/>
        <v>Foundations of ML</v>
      </c>
      <c r="F317" s="24" t="str">
        <f t="shared" si="43"/>
        <v>IN_4</v>
      </c>
      <c r="G317" s="24" t="str">
        <f t="shared" si="43"/>
        <v>Workshop</v>
      </c>
      <c r="H317" s="24" t="str">
        <f t="shared" si="36"/>
        <v>Online</v>
      </c>
      <c r="I317" s="24">
        <v>6</v>
      </c>
      <c r="J317" s="24">
        <f t="shared" si="37"/>
        <v>6</v>
      </c>
      <c r="K317" s="35">
        <f t="shared" si="39"/>
        <v>0.3</v>
      </c>
      <c r="L317" s="24">
        <f t="shared" si="40"/>
        <v>0.06</v>
      </c>
      <c r="M317" s="41"/>
    </row>
    <row r="318" spans="1:13" s="34" customFormat="1" ht="15.75" customHeight="1" x14ac:dyDescent="0.3">
      <c r="A318" s="24" t="str">
        <f t="shared" si="38"/>
        <v>L037S018</v>
      </c>
      <c r="B318" s="32" t="s">
        <v>83</v>
      </c>
      <c r="C318" s="33" t="s">
        <v>25</v>
      </c>
      <c r="D318" s="33" t="s">
        <v>26</v>
      </c>
      <c r="E318" s="24" t="str">
        <f t="shared" si="43"/>
        <v>CS Fundamentals</v>
      </c>
      <c r="F318" s="24" t="str">
        <f t="shared" si="43"/>
        <v>IN_5</v>
      </c>
      <c r="G318" s="24" t="str">
        <f t="shared" si="43"/>
        <v>Practical</v>
      </c>
      <c r="H318" s="24" t="str">
        <f t="shared" si="36"/>
        <v>Online</v>
      </c>
      <c r="I318" s="24">
        <v>0</v>
      </c>
      <c r="J318" s="24">
        <f t="shared" si="37"/>
        <v>0</v>
      </c>
      <c r="K318" s="35">
        <f t="shared" si="39"/>
        <v>0</v>
      </c>
      <c r="L318" s="24">
        <f t="shared" si="40"/>
        <v>0</v>
      </c>
      <c r="M318" s="41"/>
    </row>
    <row r="319" spans="1:13" s="34" customFormat="1" ht="15.75" customHeight="1" x14ac:dyDescent="0.3">
      <c r="A319" s="24" t="str">
        <f t="shared" si="38"/>
        <v>L037S008</v>
      </c>
      <c r="B319" s="32" t="s">
        <v>83</v>
      </c>
      <c r="C319" s="33" t="s">
        <v>32</v>
      </c>
      <c r="D319" s="33" t="s">
        <v>26</v>
      </c>
      <c r="E319" s="24" t="str">
        <f t="shared" si="43"/>
        <v>CS Fundamentals</v>
      </c>
      <c r="F319" s="24" t="str">
        <f t="shared" si="43"/>
        <v>IN_2</v>
      </c>
      <c r="G319" s="24" t="str">
        <f t="shared" si="43"/>
        <v>Practical</v>
      </c>
      <c r="H319" s="24" t="str">
        <f t="shared" si="36"/>
        <v>Online</v>
      </c>
      <c r="I319" s="24">
        <v>0</v>
      </c>
      <c r="J319" s="24">
        <f t="shared" si="37"/>
        <v>0</v>
      </c>
      <c r="K319" s="35">
        <f t="shared" si="39"/>
        <v>0</v>
      </c>
      <c r="L319" s="24">
        <f t="shared" si="40"/>
        <v>0</v>
      </c>
      <c r="M319" s="41"/>
    </row>
    <row r="320" spans="1:13" s="34" customFormat="1" ht="15.75" customHeight="1" x14ac:dyDescent="0.3">
      <c r="A320" s="24" t="str">
        <f t="shared" si="38"/>
        <v>L037S019</v>
      </c>
      <c r="B320" s="32" t="s">
        <v>83</v>
      </c>
      <c r="C320" s="33" t="s">
        <v>38</v>
      </c>
      <c r="D320" s="33" t="s">
        <v>26</v>
      </c>
      <c r="E320" s="24" t="str">
        <f t="shared" si="43"/>
        <v>CS Fundamentals</v>
      </c>
      <c r="F320" s="24" t="str">
        <f t="shared" si="43"/>
        <v>IN_6</v>
      </c>
      <c r="G320" s="24" t="str">
        <f t="shared" si="43"/>
        <v>Workshop</v>
      </c>
      <c r="H320" s="24" t="str">
        <f t="shared" si="36"/>
        <v>Offline</v>
      </c>
      <c r="I320" s="24">
        <v>0</v>
      </c>
      <c r="J320" s="24">
        <f t="shared" si="37"/>
        <v>0</v>
      </c>
      <c r="K320" s="35">
        <f t="shared" si="39"/>
        <v>0</v>
      </c>
      <c r="L320" s="24">
        <f t="shared" si="40"/>
        <v>0</v>
      </c>
      <c r="M320" s="41"/>
    </row>
    <row r="321" spans="1:13" s="34" customFormat="1" ht="15.75" customHeight="1" x14ac:dyDescent="0.3">
      <c r="A321" s="24" t="str">
        <f t="shared" si="38"/>
        <v>L037S007</v>
      </c>
      <c r="B321" s="32" t="s">
        <v>83</v>
      </c>
      <c r="C321" s="33" t="s">
        <v>35</v>
      </c>
      <c r="D321" s="33" t="s">
        <v>29</v>
      </c>
      <c r="E321" s="24" t="str">
        <f t="shared" si="43"/>
        <v>Communication</v>
      </c>
      <c r="F321" s="24" t="str">
        <f t="shared" si="43"/>
        <v>IN_1</v>
      </c>
      <c r="G321" s="24" t="str">
        <f t="shared" si="43"/>
        <v>Practical</v>
      </c>
      <c r="H321" s="24" t="str">
        <f t="shared" si="36"/>
        <v>Offline</v>
      </c>
      <c r="I321" s="24">
        <v>0</v>
      </c>
      <c r="J321" s="24">
        <f t="shared" si="37"/>
        <v>0</v>
      </c>
      <c r="K321" s="35">
        <f t="shared" si="39"/>
        <v>0</v>
      </c>
      <c r="L321" s="24">
        <f t="shared" si="40"/>
        <v>0</v>
      </c>
      <c r="M321" s="41"/>
    </row>
    <row r="322" spans="1:13" s="34" customFormat="1" ht="15.75" customHeight="1" x14ac:dyDescent="0.3">
      <c r="A322" s="24" t="str">
        <f t="shared" si="38"/>
        <v>L037S014</v>
      </c>
      <c r="B322" s="32" t="s">
        <v>83</v>
      </c>
      <c r="C322" s="33" t="s">
        <v>46</v>
      </c>
      <c r="D322" s="33" t="s">
        <v>37</v>
      </c>
      <c r="E322" s="24" t="str">
        <f t="shared" si="43"/>
        <v>Foundations of ML</v>
      </c>
      <c r="F322" s="24" t="str">
        <f t="shared" si="43"/>
        <v>IN_2</v>
      </c>
      <c r="G322" s="24" t="str">
        <f t="shared" si="43"/>
        <v>Theory Session</v>
      </c>
      <c r="H322" s="24" t="str">
        <f t="shared" si="36"/>
        <v>Online</v>
      </c>
      <c r="I322" s="24">
        <v>0</v>
      </c>
      <c r="J322" s="24">
        <f t="shared" si="37"/>
        <v>0</v>
      </c>
      <c r="K322" s="35">
        <f t="shared" si="39"/>
        <v>0</v>
      </c>
      <c r="L322" s="24">
        <f t="shared" si="40"/>
        <v>0</v>
      </c>
      <c r="M322" s="41"/>
    </row>
    <row r="323" spans="1:13" s="34" customFormat="1" ht="15.75" customHeight="1" x14ac:dyDescent="0.3">
      <c r="A323" s="24" t="str">
        <f t="shared" si="38"/>
        <v>L038S013</v>
      </c>
      <c r="B323" s="32" t="s">
        <v>84</v>
      </c>
      <c r="C323" s="33" t="s">
        <v>44</v>
      </c>
      <c r="D323" s="33" t="s">
        <v>26</v>
      </c>
      <c r="E323" s="24" t="str">
        <f t="shared" ref="E323:G342" si="44">VLOOKUP($C323,session_details,E$1,FALSE)</f>
        <v>Algebra Basics</v>
      </c>
      <c r="F323" s="24" t="str">
        <f t="shared" si="44"/>
        <v>IN_3</v>
      </c>
      <c r="G323" s="24" t="str">
        <f t="shared" si="44"/>
        <v>Workshop</v>
      </c>
      <c r="H323" s="24" t="str">
        <f t="shared" ref="H323:H386" si="45">VLOOKUP($C323,Session_mode,H$1,FALSE)</f>
        <v>Offline</v>
      </c>
      <c r="I323" s="24">
        <v>18</v>
      </c>
      <c r="J323" s="24">
        <f t="shared" ref="J323:J386" si="46">IF(D323="Present", I323, IF(AND(D323="Absent", I323&lt;&gt;0), I323-5, I323))</f>
        <v>18</v>
      </c>
      <c r="K323" s="35">
        <f t="shared" si="39"/>
        <v>0.9</v>
      </c>
      <c r="L323" s="24">
        <f t="shared" si="40"/>
        <v>0.18000000000000002</v>
      </c>
      <c r="M323" s="41"/>
    </row>
    <row r="324" spans="1:13" s="34" customFormat="1" ht="15.75" customHeight="1" x14ac:dyDescent="0.3">
      <c r="A324" s="24" t="str">
        <f t="shared" ref="A324:A387" si="47">B324&amp;C324</f>
        <v>L038S020</v>
      </c>
      <c r="B324" s="32" t="s">
        <v>84</v>
      </c>
      <c r="C324" s="33" t="s">
        <v>30</v>
      </c>
      <c r="D324" s="33" t="s">
        <v>29</v>
      </c>
      <c r="E324" s="24" t="str">
        <f t="shared" si="44"/>
        <v>Foundations of ML</v>
      </c>
      <c r="F324" s="24" t="str">
        <f t="shared" si="44"/>
        <v>IN_4</v>
      </c>
      <c r="G324" s="24" t="str">
        <f t="shared" si="44"/>
        <v>Workshop</v>
      </c>
      <c r="H324" s="24" t="str">
        <f t="shared" si="45"/>
        <v>Online</v>
      </c>
      <c r="I324" s="24">
        <v>16</v>
      </c>
      <c r="J324" s="24">
        <f t="shared" si="46"/>
        <v>11</v>
      </c>
      <c r="K324" s="35">
        <f t="shared" ref="K324:K387" si="48">J324/20</f>
        <v>0.55000000000000004</v>
      </c>
      <c r="L324" s="24">
        <f t="shared" ref="L324:L387" si="49">IF(G324="Theory Session", K324*0.4,
 IF(G324="Practical",       K324*0.4,
 IF(G324="Workshop",        K324*0.2,
 0)))</f>
        <v>0.11000000000000001</v>
      </c>
      <c r="M324" s="41"/>
    </row>
    <row r="325" spans="1:13" s="34" customFormat="1" ht="15.75" customHeight="1" x14ac:dyDescent="0.3">
      <c r="A325" s="24" t="str">
        <f t="shared" si="47"/>
        <v>L038S015</v>
      </c>
      <c r="B325" s="32" t="s">
        <v>84</v>
      </c>
      <c r="C325" s="33" t="s">
        <v>41</v>
      </c>
      <c r="D325" s="33" t="s">
        <v>29</v>
      </c>
      <c r="E325" s="24" t="str">
        <f t="shared" si="44"/>
        <v>Foundations of ML</v>
      </c>
      <c r="F325" s="24" t="str">
        <f t="shared" si="44"/>
        <v>IN_4</v>
      </c>
      <c r="G325" s="24" t="str">
        <f t="shared" si="44"/>
        <v>Practical</v>
      </c>
      <c r="H325" s="24" t="str">
        <f t="shared" si="45"/>
        <v>Offline</v>
      </c>
      <c r="I325" s="24">
        <v>0</v>
      </c>
      <c r="J325" s="24">
        <f t="shared" si="46"/>
        <v>0</v>
      </c>
      <c r="K325" s="35">
        <f t="shared" si="48"/>
        <v>0</v>
      </c>
      <c r="L325" s="24">
        <f t="shared" si="49"/>
        <v>0</v>
      </c>
      <c r="M325" s="41"/>
    </row>
    <row r="326" spans="1:13" s="34" customFormat="1" ht="15.75" customHeight="1" x14ac:dyDescent="0.3">
      <c r="A326" s="24" t="str">
        <f t="shared" si="47"/>
        <v>L038S012</v>
      </c>
      <c r="B326" s="32" t="s">
        <v>84</v>
      </c>
      <c r="C326" s="33" t="s">
        <v>33</v>
      </c>
      <c r="D326" s="33" t="s">
        <v>26</v>
      </c>
      <c r="E326" s="24" t="str">
        <f t="shared" si="44"/>
        <v>Foundations of ML</v>
      </c>
      <c r="F326" s="24" t="str">
        <f t="shared" si="44"/>
        <v>IN_1</v>
      </c>
      <c r="G326" s="24" t="str">
        <f t="shared" si="44"/>
        <v>Workshop</v>
      </c>
      <c r="H326" s="24" t="str">
        <f t="shared" si="45"/>
        <v>Offline</v>
      </c>
      <c r="I326" s="24">
        <v>11</v>
      </c>
      <c r="J326" s="24">
        <f t="shared" si="46"/>
        <v>11</v>
      </c>
      <c r="K326" s="35">
        <f t="shared" si="48"/>
        <v>0.55000000000000004</v>
      </c>
      <c r="L326" s="24">
        <f t="shared" si="49"/>
        <v>0.11000000000000001</v>
      </c>
      <c r="M326" s="41"/>
    </row>
    <row r="327" spans="1:13" s="34" customFormat="1" ht="15.75" customHeight="1" x14ac:dyDescent="0.3">
      <c r="A327" s="24" t="str">
        <f t="shared" si="47"/>
        <v>L038S007</v>
      </c>
      <c r="B327" s="32" t="s">
        <v>84</v>
      </c>
      <c r="C327" s="33" t="s">
        <v>35</v>
      </c>
      <c r="D327" s="33" t="s">
        <v>29</v>
      </c>
      <c r="E327" s="24" t="str">
        <f t="shared" si="44"/>
        <v>Communication</v>
      </c>
      <c r="F327" s="24" t="str">
        <f t="shared" si="44"/>
        <v>IN_1</v>
      </c>
      <c r="G327" s="24" t="str">
        <f t="shared" si="44"/>
        <v>Practical</v>
      </c>
      <c r="H327" s="24" t="str">
        <f t="shared" si="45"/>
        <v>Offline</v>
      </c>
      <c r="I327" s="24">
        <v>9</v>
      </c>
      <c r="J327" s="24">
        <f t="shared" si="46"/>
        <v>4</v>
      </c>
      <c r="K327" s="35">
        <f t="shared" si="48"/>
        <v>0.2</v>
      </c>
      <c r="L327" s="24">
        <f t="shared" si="49"/>
        <v>8.0000000000000016E-2</v>
      </c>
      <c r="M327" s="41"/>
    </row>
    <row r="328" spans="1:13" s="34" customFormat="1" ht="15.75" customHeight="1" x14ac:dyDescent="0.3">
      <c r="A328" s="24" t="str">
        <f t="shared" si="47"/>
        <v>L038S006</v>
      </c>
      <c r="B328" s="32" t="s">
        <v>84</v>
      </c>
      <c r="C328" s="33" t="s">
        <v>40</v>
      </c>
      <c r="D328" s="33" t="s">
        <v>37</v>
      </c>
      <c r="E328" s="24" t="str">
        <f t="shared" si="44"/>
        <v>Communication</v>
      </c>
      <c r="F328" s="24" t="str">
        <f t="shared" si="44"/>
        <v>IN_6</v>
      </c>
      <c r="G328" s="24" t="str">
        <f t="shared" si="44"/>
        <v>Theory Session</v>
      </c>
      <c r="H328" s="24" t="str">
        <f t="shared" si="45"/>
        <v>Online</v>
      </c>
      <c r="I328" s="24">
        <v>6</v>
      </c>
      <c r="J328" s="24">
        <f t="shared" si="46"/>
        <v>6</v>
      </c>
      <c r="K328" s="35">
        <f t="shared" si="48"/>
        <v>0.3</v>
      </c>
      <c r="L328" s="24">
        <f t="shared" si="49"/>
        <v>0.12</v>
      </c>
      <c r="M328" s="41"/>
    </row>
    <row r="329" spans="1:13" s="34" customFormat="1" ht="15.75" customHeight="1" x14ac:dyDescent="0.3">
      <c r="A329" s="24" t="str">
        <f t="shared" si="47"/>
        <v>L038S018</v>
      </c>
      <c r="B329" s="32" t="s">
        <v>84</v>
      </c>
      <c r="C329" s="33" t="s">
        <v>25</v>
      </c>
      <c r="D329" s="33" t="s">
        <v>29</v>
      </c>
      <c r="E329" s="24" t="str">
        <f t="shared" si="44"/>
        <v>CS Fundamentals</v>
      </c>
      <c r="F329" s="24" t="str">
        <f t="shared" si="44"/>
        <v>IN_5</v>
      </c>
      <c r="G329" s="24" t="str">
        <f t="shared" si="44"/>
        <v>Practical</v>
      </c>
      <c r="H329" s="24" t="str">
        <f t="shared" si="45"/>
        <v>Online</v>
      </c>
      <c r="I329" s="24">
        <v>0</v>
      </c>
      <c r="J329" s="24">
        <f t="shared" si="46"/>
        <v>0</v>
      </c>
      <c r="K329" s="35">
        <f t="shared" si="48"/>
        <v>0</v>
      </c>
      <c r="L329" s="24">
        <f t="shared" si="49"/>
        <v>0</v>
      </c>
      <c r="M329" s="41"/>
    </row>
    <row r="330" spans="1:13" s="34" customFormat="1" ht="15.75" customHeight="1" x14ac:dyDescent="0.3">
      <c r="A330" s="24" t="str">
        <f t="shared" si="47"/>
        <v>L038S017</v>
      </c>
      <c r="B330" s="32" t="s">
        <v>84</v>
      </c>
      <c r="C330" s="33" t="s">
        <v>28</v>
      </c>
      <c r="D330" s="33" t="s">
        <v>29</v>
      </c>
      <c r="E330" s="24" t="str">
        <f t="shared" si="44"/>
        <v>Communication</v>
      </c>
      <c r="F330" s="24" t="str">
        <f t="shared" si="44"/>
        <v>IN_7</v>
      </c>
      <c r="G330" s="24" t="str">
        <f t="shared" si="44"/>
        <v>Practical</v>
      </c>
      <c r="H330" s="24" t="str">
        <f t="shared" si="45"/>
        <v>Offline</v>
      </c>
      <c r="I330" s="24">
        <v>0</v>
      </c>
      <c r="J330" s="24">
        <f t="shared" si="46"/>
        <v>0</v>
      </c>
      <c r="K330" s="35">
        <f t="shared" si="48"/>
        <v>0</v>
      </c>
      <c r="L330" s="24">
        <f t="shared" si="49"/>
        <v>0</v>
      </c>
      <c r="M330" s="41"/>
    </row>
    <row r="331" spans="1:13" s="34" customFormat="1" ht="15.75" customHeight="1" x14ac:dyDescent="0.3">
      <c r="A331" s="24" t="str">
        <f t="shared" si="47"/>
        <v>L038S014</v>
      </c>
      <c r="B331" s="32" t="s">
        <v>84</v>
      </c>
      <c r="C331" s="33" t="s">
        <v>46</v>
      </c>
      <c r="D331" s="33" t="s">
        <v>29</v>
      </c>
      <c r="E331" s="24" t="str">
        <f t="shared" si="44"/>
        <v>Foundations of ML</v>
      </c>
      <c r="F331" s="24" t="str">
        <f t="shared" si="44"/>
        <v>IN_2</v>
      </c>
      <c r="G331" s="24" t="str">
        <f t="shared" si="44"/>
        <v>Theory Session</v>
      </c>
      <c r="H331" s="24" t="str">
        <f t="shared" si="45"/>
        <v>Online</v>
      </c>
      <c r="I331" s="24">
        <v>15</v>
      </c>
      <c r="J331" s="24">
        <f t="shared" si="46"/>
        <v>10</v>
      </c>
      <c r="K331" s="35">
        <f t="shared" si="48"/>
        <v>0.5</v>
      </c>
      <c r="L331" s="24">
        <f t="shared" si="49"/>
        <v>0.2</v>
      </c>
      <c r="M331" s="41"/>
    </row>
    <row r="332" spans="1:13" s="34" customFormat="1" ht="15.75" customHeight="1" x14ac:dyDescent="0.3">
      <c r="A332" s="24" t="str">
        <f t="shared" si="47"/>
        <v>L038S001</v>
      </c>
      <c r="B332" s="32" t="s">
        <v>84</v>
      </c>
      <c r="C332" s="33" t="s">
        <v>43</v>
      </c>
      <c r="D332" s="33" t="s">
        <v>26</v>
      </c>
      <c r="E332" s="24" t="str">
        <f t="shared" si="44"/>
        <v>CS Fundamentals</v>
      </c>
      <c r="F332" s="24" t="str">
        <f t="shared" si="44"/>
        <v>IN_2</v>
      </c>
      <c r="G332" s="24" t="str">
        <f t="shared" si="44"/>
        <v>Theory Session</v>
      </c>
      <c r="H332" s="24" t="str">
        <f t="shared" si="45"/>
        <v>Online</v>
      </c>
      <c r="I332" s="24">
        <v>8</v>
      </c>
      <c r="J332" s="24">
        <f t="shared" si="46"/>
        <v>8</v>
      </c>
      <c r="K332" s="35">
        <f t="shared" si="48"/>
        <v>0.4</v>
      </c>
      <c r="L332" s="24">
        <f t="shared" si="49"/>
        <v>0.16000000000000003</v>
      </c>
      <c r="M332" s="41"/>
    </row>
    <row r="333" spans="1:13" s="34" customFormat="1" ht="15.75" customHeight="1" x14ac:dyDescent="0.3">
      <c r="A333" s="24" t="str">
        <f t="shared" si="47"/>
        <v>L038S011</v>
      </c>
      <c r="B333" s="32" t="s">
        <v>84</v>
      </c>
      <c r="C333" s="33" t="s">
        <v>39</v>
      </c>
      <c r="D333" s="33" t="s">
        <v>26</v>
      </c>
      <c r="E333" s="24" t="str">
        <f t="shared" si="44"/>
        <v>Algebra Basics</v>
      </c>
      <c r="F333" s="24" t="str">
        <f t="shared" si="44"/>
        <v>IN_4</v>
      </c>
      <c r="G333" s="24" t="str">
        <f t="shared" si="44"/>
        <v>Theory Session</v>
      </c>
      <c r="H333" s="24" t="str">
        <f t="shared" si="45"/>
        <v>Online</v>
      </c>
      <c r="I333" s="24">
        <v>0</v>
      </c>
      <c r="J333" s="24">
        <f t="shared" si="46"/>
        <v>0</v>
      </c>
      <c r="K333" s="35">
        <f t="shared" si="48"/>
        <v>0</v>
      </c>
      <c r="L333" s="24">
        <f t="shared" si="49"/>
        <v>0</v>
      </c>
      <c r="M333" s="41"/>
    </row>
    <row r="334" spans="1:13" s="34" customFormat="1" ht="15.75" customHeight="1" x14ac:dyDescent="0.3">
      <c r="A334" s="24" t="str">
        <f t="shared" si="47"/>
        <v>L038S009</v>
      </c>
      <c r="B334" s="32" t="s">
        <v>84</v>
      </c>
      <c r="C334" s="33" t="s">
        <v>45</v>
      </c>
      <c r="D334" s="33" t="s">
        <v>26</v>
      </c>
      <c r="E334" s="24" t="str">
        <f t="shared" si="44"/>
        <v>Communication</v>
      </c>
      <c r="F334" s="24" t="str">
        <f t="shared" si="44"/>
        <v>IN_6</v>
      </c>
      <c r="G334" s="24" t="str">
        <f t="shared" si="44"/>
        <v>Workshop</v>
      </c>
      <c r="H334" s="24" t="str">
        <f t="shared" si="45"/>
        <v>Offline</v>
      </c>
      <c r="I334" s="24">
        <v>12</v>
      </c>
      <c r="J334" s="24">
        <f t="shared" si="46"/>
        <v>12</v>
      </c>
      <c r="K334" s="35">
        <f t="shared" si="48"/>
        <v>0.6</v>
      </c>
      <c r="L334" s="24">
        <f t="shared" si="49"/>
        <v>0.12</v>
      </c>
      <c r="M334" s="41"/>
    </row>
    <row r="335" spans="1:13" s="34" customFormat="1" ht="15.75" customHeight="1" x14ac:dyDescent="0.3">
      <c r="A335" s="24" t="str">
        <f t="shared" si="47"/>
        <v>L038S016</v>
      </c>
      <c r="B335" s="32" t="s">
        <v>84</v>
      </c>
      <c r="C335" s="33" t="s">
        <v>27</v>
      </c>
      <c r="D335" s="33" t="s">
        <v>26</v>
      </c>
      <c r="E335" s="24" t="str">
        <f t="shared" si="44"/>
        <v>Algebra Basics</v>
      </c>
      <c r="F335" s="24" t="str">
        <f t="shared" si="44"/>
        <v>IN_2</v>
      </c>
      <c r="G335" s="24" t="str">
        <f t="shared" si="44"/>
        <v>Workshop</v>
      </c>
      <c r="H335" s="24" t="str">
        <f t="shared" si="45"/>
        <v>Offline</v>
      </c>
      <c r="I335" s="24">
        <v>9</v>
      </c>
      <c r="J335" s="24">
        <f t="shared" si="46"/>
        <v>9</v>
      </c>
      <c r="K335" s="35">
        <f t="shared" si="48"/>
        <v>0.45</v>
      </c>
      <c r="L335" s="24">
        <f t="shared" si="49"/>
        <v>9.0000000000000011E-2</v>
      </c>
      <c r="M335" s="41"/>
    </row>
    <row r="336" spans="1:13" s="34" customFormat="1" ht="15.75" customHeight="1" x14ac:dyDescent="0.3">
      <c r="A336" s="24" t="str">
        <f t="shared" si="47"/>
        <v>L038S003</v>
      </c>
      <c r="B336" s="32" t="s">
        <v>84</v>
      </c>
      <c r="C336" s="33" t="s">
        <v>50</v>
      </c>
      <c r="D336" s="33" t="s">
        <v>26</v>
      </c>
      <c r="E336" s="24" t="str">
        <f t="shared" si="44"/>
        <v>Algebra Basics</v>
      </c>
      <c r="F336" s="24" t="str">
        <f t="shared" si="44"/>
        <v>IN_7</v>
      </c>
      <c r="G336" s="24" t="str">
        <f t="shared" si="44"/>
        <v>Workshop</v>
      </c>
      <c r="H336" s="24" t="str">
        <f t="shared" si="45"/>
        <v>Offline</v>
      </c>
      <c r="I336" s="24">
        <v>19</v>
      </c>
      <c r="J336" s="24">
        <f t="shared" si="46"/>
        <v>19</v>
      </c>
      <c r="K336" s="35">
        <f t="shared" si="48"/>
        <v>0.95</v>
      </c>
      <c r="L336" s="24">
        <f t="shared" si="49"/>
        <v>0.19</v>
      </c>
      <c r="M336" s="41"/>
    </row>
    <row r="337" spans="1:13" s="34" customFormat="1" ht="15.75" customHeight="1" x14ac:dyDescent="0.3">
      <c r="A337" s="24" t="str">
        <f t="shared" si="47"/>
        <v>L039S019</v>
      </c>
      <c r="B337" s="32" t="s">
        <v>85</v>
      </c>
      <c r="C337" s="33" t="s">
        <v>38</v>
      </c>
      <c r="D337" s="33" t="s">
        <v>29</v>
      </c>
      <c r="E337" s="24" t="str">
        <f t="shared" si="44"/>
        <v>CS Fundamentals</v>
      </c>
      <c r="F337" s="24" t="str">
        <f t="shared" si="44"/>
        <v>IN_6</v>
      </c>
      <c r="G337" s="24" t="str">
        <f t="shared" si="44"/>
        <v>Workshop</v>
      </c>
      <c r="H337" s="24" t="str">
        <f t="shared" si="45"/>
        <v>Offline</v>
      </c>
      <c r="I337" s="24">
        <v>0</v>
      </c>
      <c r="J337" s="24">
        <f t="shared" si="46"/>
        <v>0</v>
      </c>
      <c r="K337" s="35">
        <f t="shared" si="48"/>
        <v>0</v>
      </c>
      <c r="L337" s="24">
        <f t="shared" si="49"/>
        <v>0</v>
      </c>
      <c r="M337" s="41"/>
    </row>
    <row r="338" spans="1:13" s="34" customFormat="1" ht="15.75" customHeight="1" x14ac:dyDescent="0.3">
      <c r="A338" s="24" t="str">
        <f t="shared" si="47"/>
        <v>L039S009</v>
      </c>
      <c r="B338" s="32" t="s">
        <v>85</v>
      </c>
      <c r="C338" s="33" t="s">
        <v>45</v>
      </c>
      <c r="D338" s="33" t="s">
        <v>29</v>
      </c>
      <c r="E338" s="24" t="str">
        <f t="shared" si="44"/>
        <v>Communication</v>
      </c>
      <c r="F338" s="24" t="str">
        <f t="shared" si="44"/>
        <v>IN_6</v>
      </c>
      <c r="G338" s="24" t="str">
        <f t="shared" si="44"/>
        <v>Workshop</v>
      </c>
      <c r="H338" s="24" t="str">
        <f t="shared" si="45"/>
        <v>Offline</v>
      </c>
      <c r="I338" s="24">
        <v>16</v>
      </c>
      <c r="J338" s="24">
        <f t="shared" si="46"/>
        <v>11</v>
      </c>
      <c r="K338" s="35">
        <f t="shared" si="48"/>
        <v>0.55000000000000004</v>
      </c>
      <c r="L338" s="24">
        <f t="shared" si="49"/>
        <v>0.11000000000000001</v>
      </c>
      <c r="M338" s="41"/>
    </row>
    <row r="339" spans="1:13" s="34" customFormat="1" ht="15.75" customHeight="1" x14ac:dyDescent="0.3">
      <c r="A339" s="24" t="str">
        <f t="shared" si="47"/>
        <v>L039S018</v>
      </c>
      <c r="B339" s="32" t="s">
        <v>85</v>
      </c>
      <c r="C339" s="33" t="s">
        <v>25</v>
      </c>
      <c r="D339" s="33" t="s">
        <v>26</v>
      </c>
      <c r="E339" s="24" t="str">
        <f t="shared" si="44"/>
        <v>CS Fundamentals</v>
      </c>
      <c r="F339" s="24" t="str">
        <f t="shared" si="44"/>
        <v>IN_5</v>
      </c>
      <c r="G339" s="24" t="str">
        <f t="shared" si="44"/>
        <v>Practical</v>
      </c>
      <c r="H339" s="24" t="str">
        <f t="shared" si="45"/>
        <v>Online</v>
      </c>
      <c r="I339" s="24">
        <v>0</v>
      </c>
      <c r="J339" s="24">
        <f t="shared" si="46"/>
        <v>0</v>
      </c>
      <c r="K339" s="35">
        <f t="shared" si="48"/>
        <v>0</v>
      </c>
      <c r="L339" s="24">
        <f t="shared" si="49"/>
        <v>0</v>
      </c>
      <c r="M339" s="41"/>
    </row>
    <row r="340" spans="1:13" s="34" customFormat="1" ht="15.75" customHeight="1" x14ac:dyDescent="0.3">
      <c r="A340" s="24" t="str">
        <f t="shared" si="47"/>
        <v>L039S012</v>
      </c>
      <c r="B340" s="32" t="s">
        <v>85</v>
      </c>
      <c r="C340" s="33" t="s">
        <v>33</v>
      </c>
      <c r="D340" s="33" t="s">
        <v>29</v>
      </c>
      <c r="E340" s="24" t="str">
        <f t="shared" si="44"/>
        <v>Foundations of ML</v>
      </c>
      <c r="F340" s="24" t="str">
        <f t="shared" si="44"/>
        <v>IN_1</v>
      </c>
      <c r="G340" s="24" t="str">
        <f t="shared" si="44"/>
        <v>Workshop</v>
      </c>
      <c r="H340" s="24" t="str">
        <f t="shared" si="45"/>
        <v>Offline</v>
      </c>
      <c r="I340" s="24">
        <v>0</v>
      </c>
      <c r="J340" s="24">
        <f t="shared" si="46"/>
        <v>0</v>
      </c>
      <c r="K340" s="35">
        <f t="shared" si="48"/>
        <v>0</v>
      </c>
      <c r="L340" s="24">
        <f t="shared" si="49"/>
        <v>0</v>
      </c>
      <c r="M340" s="41"/>
    </row>
    <row r="341" spans="1:13" s="34" customFormat="1" ht="15.75" customHeight="1" x14ac:dyDescent="0.3">
      <c r="A341" s="24" t="str">
        <f t="shared" si="47"/>
        <v>L039S011</v>
      </c>
      <c r="B341" s="32" t="s">
        <v>85</v>
      </c>
      <c r="C341" s="33" t="s">
        <v>39</v>
      </c>
      <c r="D341" s="33" t="s">
        <v>29</v>
      </c>
      <c r="E341" s="24" t="str">
        <f t="shared" si="44"/>
        <v>Algebra Basics</v>
      </c>
      <c r="F341" s="24" t="str">
        <f t="shared" si="44"/>
        <v>IN_4</v>
      </c>
      <c r="G341" s="24" t="str">
        <f t="shared" si="44"/>
        <v>Theory Session</v>
      </c>
      <c r="H341" s="24" t="str">
        <f t="shared" si="45"/>
        <v>Online</v>
      </c>
      <c r="I341" s="24">
        <v>0</v>
      </c>
      <c r="J341" s="24">
        <f t="shared" si="46"/>
        <v>0</v>
      </c>
      <c r="K341" s="35">
        <f t="shared" si="48"/>
        <v>0</v>
      </c>
      <c r="L341" s="24">
        <f t="shared" si="49"/>
        <v>0</v>
      </c>
      <c r="M341" s="41"/>
    </row>
    <row r="342" spans="1:13" s="34" customFormat="1" ht="15.75" customHeight="1" x14ac:dyDescent="0.3">
      <c r="A342" s="24" t="str">
        <f t="shared" si="47"/>
        <v>L039S006</v>
      </c>
      <c r="B342" s="32" t="s">
        <v>85</v>
      </c>
      <c r="C342" s="33" t="s">
        <v>40</v>
      </c>
      <c r="D342" s="33" t="s">
        <v>26</v>
      </c>
      <c r="E342" s="24" t="str">
        <f t="shared" si="44"/>
        <v>Communication</v>
      </c>
      <c r="F342" s="24" t="str">
        <f t="shared" si="44"/>
        <v>IN_6</v>
      </c>
      <c r="G342" s="24" t="str">
        <f t="shared" si="44"/>
        <v>Theory Session</v>
      </c>
      <c r="H342" s="24" t="str">
        <f t="shared" si="45"/>
        <v>Online</v>
      </c>
      <c r="I342" s="24">
        <v>11</v>
      </c>
      <c r="J342" s="24">
        <f t="shared" si="46"/>
        <v>11</v>
      </c>
      <c r="K342" s="35">
        <f t="shared" si="48"/>
        <v>0.55000000000000004</v>
      </c>
      <c r="L342" s="24">
        <f t="shared" si="49"/>
        <v>0.22000000000000003</v>
      </c>
      <c r="M342" s="41"/>
    </row>
    <row r="343" spans="1:13" s="34" customFormat="1" ht="15.75" customHeight="1" x14ac:dyDescent="0.3">
      <c r="A343" s="24" t="str">
        <f t="shared" si="47"/>
        <v>L040S005</v>
      </c>
      <c r="B343" s="32" t="s">
        <v>86</v>
      </c>
      <c r="C343" s="33" t="s">
        <v>36</v>
      </c>
      <c r="D343" s="33" t="s">
        <v>26</v>
      </c>
      <c r="E343" s="24" t="str">
        <f t="shared" ref="E343:G362" si="50">VLOOKUP($C343,session_details,E$1,FALSE)</f>
        <v>Algebra Basics</v>
      </c>
      <c r="F343" s="24" t="str">
        <f t="shared" si="50"/>
        <v>IN_4</v>
      </c>
      <c r="G343" s="24" t="str">
        <f t="shared" si="50"/>
        <v>Workshop</v>
      </c>
      <c r="H343" s="24" t="str">
        <f t="shared" si="45"/>
        <v>Online</v>
      </c>
      <c r="I343" s="24">
        <v>0</v>
      </c>
      <c r="J343" s="24">
        <f t="shared" si="46"/>
        <v>0</v>
      </c>
      <c r="K343" s="35">
        <f t="shared" si="48"/>
        <v>0</v>
      </c>
      <c r="L343" s="24">
        <f t="shared" si="49"/>
        <v>0</v>
      </c>
      <c r="M343" s="41"/>
    </row>
    <row r="344" spans="1:13" s="34" customFormat="1" ht="15.75" customHeight="1" x14ac:dyDescent="0.3">
      <c r="A344" s="24" t="str">
        <f t="shared" si="47"/>
        <v>L040S011</v>
      </c>
      <c r="B344" s="32" t="s">
        <v>86</v>
      </c>
      <c r="C344" s="33" t="s">
        <v>39</v>
      </c>
      <c r="D344" s="33" t="s">
        <v>26</v>
      </c>
      <c r="E344" s="24" t="str">
        <f t="shared" si="50"/>
        <v>Algebra Basics</v>
      </c>
      <c r="F344" s="24" t="str">
        <f t="shared" si="50"/>
        <v>IN_4</v>
      </c>
      <c r="G344" s="24" t="str">
        <f t="shared" si="50"/>
        <v>Theory Session</v>
      </c>
      <c r="H344" s="24" t="str">
        <f t="shared" si="45"/>
        <v>Online</v>
      </c>
      <c r="I344" s="24">
        <v>10</v>
      </c>
      <c r="J344" s="24">
        <f t="shared" si="46"/>
        <v>10</v>
      </c>
      <c r="K344" s="35">
        <f t="shared" si="48"/>
        <v>0.5</v>
      </c>
      <c r="L344" s="24">
        <f t="shared" si="49"/>
        <v>0.2</v>
      </c>
      <c r="M344" s="41"/>
    </row>
    <row r="345" spans="1:13" s="34" customFormat="1" ht="15.75" customHeight="1" x14ac:dyDescent="0.3">
      <c r="A345" s="24" t="str">
        <f t="shared" si="47"/>
        <v>L040S010</v>
      </c>
      <c r="B345" s="32" t="s">
        <v>86</v>
      </c>
      <c r="C345" s="33" t="s">
        <v>34</v>
      </c>
      <c r="D345" s="33" t="s">
        <v>26</v>
      </c>
      <c r="E345" s="24" t="str">
        <f t="shared" si="50"/>
        <v>Foundations of ML</v>
      </c>
      <c r="F345" s="24" t="str">
        <f t="shared" si="50"/>
        <v>IN_6</v>
      </c>
      <c r="G345" s="24" t="str">
        <f t="shared" si="50"/>
        <v>Theory Session</v>
      </c>
      <c r="H345" s="24" t="str">
        <f t="shared" si="45"/>
        <v>Offline</v>
      </c>
      <c r="I345" s="24">
        <v>18</v>
      </c>
      <c r="J345" s="24">
        <f t="shared" si="46"/>
        <v>18</v>
      </c>
      <c r="K345" s="35">
        <f t="shared" si="48"/>
        <v>0.9</v>
      </c>
      <c r="L345" s="24">
        <f t="shared" si="49"/>
        <v>0.36000000000000004</v>
      </c>
      <c r="M345" s="41"/>
    </row>
    <row r="346" spans="1:13" s="34" customFormat="1" ht="15.75" customHeight="1" x14ac:dyDescent="0.3">
      <c r="A346" s="24" t="str">
        <f t="shared" si="47"/>
        <v>L040S017</v>
      </c>
      <c r="B346" s="32" t="s">
        <v>86</v>
      </c>
      <c r="C346" s="33" t="s">
        <v>28</v>
      </c>
      <c r="D346" s="33" t="s">
        <v>26</v>
      </c>
      <c r="E346" s="24" t="str">
        <f t="shared" si="50"/>
        <v>Communication</v>
      </c>
      <c r="F346" s="24" t="str">
        <f t="shared" si="50"/>
        <v>IN_7</v>
      </c>
      <c r="G346" s="24" t="str">
        <f t="shared" si="50"/>
        <v>Practical</v>
      </c>
      <c r="H346" s="24" t="str">
        <f t="shared" si="45"/>
        <v>Offline</v>
      </c>
      <c r="I346" s="24">
        <v>10</v>
      </c>
      <c r="J346" s="24">
        <f t="shared" si="46"/>
        <v>10</v>
      </c>
      <c r="K346" s="35">
        <f t="shared" si="48"/>
        <v>0.5</v>
      </c>
      <c r="L346" s="24">
        <f t="shared" si="49"/>
        <v>0.2</v>
      </c>
      <c r="M346" s="41"/>
    </row>
    <row r="347" spans="1:13" s="34" customFormat="1" ht="15.75" customHeight="1" x14ac:dyDescent="0.3">
      <c r="A347" s="24" t="str">
        <f t="shared" si="47"/>
        <v>L040S004</v>
      </c>
      <c r="B347" s="32" t="s">
        <v>86</v>
      </c>
      <c r="C347" s="33" t="s">
        <v>47</v>
      </c>
      <c r="D347" s="33" t="s">
        <v>29</v>
      </c>
      <c r="E347" s="24" t="str">
        <f t="shared" si="50"/>
        <v>Foundations of ML</v>
      </c>
      <c r="F347" s="24" t="str">
        <f t="shared" si="50"/>
        <v>IN_4</v>
      </c>
      <c r="G347" s="24" t="str">
        <f t="shared" si="50"/>
        <v>Workshop</v>
      </c>
      <c r="H347" s="24" t="str">
        <f t="shared" si="45"/>
        <v>Online</v>
      </c>
      <c r="I347" s="24">
        <v>14</v>
      </c>
      <c r="J347" s="24">
        <f t="shared" si="46"/>
        <v>9</v>
      </c>
      <c r="K347" s="35">
        <f t="shared" si="48"/>
        <v>0.45</v>
      </c>
      <c r="L347" s="24">
        <f t="shared" si="49"/>
        <v>9.0000000000000011E-2</v>
      </c>
      <c r="M347" s="41"/>
    </row>
    <row r="348" spans="1:13" s="34" customFormat="1" ht="15.75" customHeight="1" x14ac:dyDescent="0.3">
      <c r="A348" s="24" t="str">
        <f t="shared" si="47"/>
        <v>L040S008</v>
      </c>
      <c r="B348" s="32" t="s">
        <v>86</v>
      </c>
      <c r="C348" s="33" t="s">
        <v>32</v>
      </c>
      <c r="D348" s="33" t="s">
        <v>26</v>
      </c>
      <c r="E348" s="24" t="str">
        <f t="shared" si="50"/>
        <v>CS Fundamentals</v>
      </c>
      <c r="F348" s="24" t="str">
        <f t="shared" si="50"/>
        <v>IN_2</v>
      </c>
      <c r="G348" s="24" t="str">
        <f t="shared" si="50"/>
        <v>Practical</v>
      </c>
      <c r="H348" s="24" t="str">
        <f t="shared" si="45"/>
        <v>Online</v>
      </c>
      <c r="I348" s="24">
        <v>7</v>
      </c>
      <c r="J348" s="24">
        <f t="shared" si="46"/>
        <v>7</v>
      </c>
      <c r="K348" s="35">
        <f t="shared" si="48"/>
        <v>0.35</v>
      </c>
      <c r="L348" s="24">
        <f t="shared" si="49"/>
        <v>0.13999999999999999</v>
      </c>
      <c r="M348" s="41"/>
    </row>
    <row r="349" spans="1:13" s="34" customFormat="1" ht="15.75" customHeight="1" x14ac:dyDescent="0.3">
      <c r="A349" s="24" t="str">
        <f t="shared" si="47"/>
        <v>L040S012</v>
      </c>
      <c r="B349" s="32" t="s">
        <v>86</v>
      </c>
      <c r="C349" s="33" t="s">
        <v>33</v>
      </c>
      <c r="D349" s="33" t="s">
        <v>26</v>
      </c>
      <c r="E349" s="24" t="str">
        <f t="shared" si="50"/>
        <v>Foundations of ML</v>
      </c>
      <c r="F349" s="24" t="str">
        <f t="shared" si="50"/>
        <v>IN_1</v>
      </c>
      <c r="G349" s="24" t="str">
        <f t="shared" si="50"/>
        <v>Workshop</v>
      </c>
      <c r="H349" s="24" t="str">
        <f t="shared" si="45"/>
        <v>Offline</v>
      </c>
      <c r="I349" s="24">
        <v>15</v>
      </c>
      <c r="J349" s="24">
        <f t="shared" si="46"/>
        <v>15</v>
      </c>
      <c r="K349" s="35">
        <f t="shared" si="48"/>
        <v>0.75</v>
      </c>
      <c r="L349" s="24">
        <f t="shared" si="49"/>
        <v>0.15000000000000002</v>
      </c>
      <c r="M349" s="41"/>
    </row>
    <row r="350" spans="1:13" s="34" customFormat="1" ht="15.75" customHeight="1" x14ac:dyDescent="0.3">
      <c r="A350" s="24" t="str">
        <f t="shared" si="47"/>
        <v>L040S003</v>
      </c>
      <c r="B350" s="32" t="s">
        <v>86</v>
      </c>
      <c r="C350" s="33" t="s">
        <v>50</v>
      </c>
      <c r="D350" s="33" t="s">
        <v>26</v>
      </c>
      <c r="E350" s="24" t="str">
        <f t="shared" si="50"/>
        <v>Algebra Basics</v>
      </c>
      <c r="F350" s="24" t="str">
        <f t="shared" si="50"/>
        <v>IN_7</v>
      </c>
      <c r="G350" s="24" t="str">
        <f t="shared" si="50"/>
        <v>Workshop</v>
      </c>
      <c r="H350" s="24" t="str">
        <f t="shared" si="45"/>
        <v>Offline</v>
      </c>
      <c r="I350" s="24">
        <v>16</v>
      </c>
      <c r="J350" s="24">
        <f t="shared" si="46"/>
        <v>16</v>
      </c>
      <c r="K350" s="35">
        <f t="shared" si="48"/>
        <v>0.8</v>
      </c>
      <c r="L350" s="24">
        <f t="shared" si="49"/>
        <v>0.16000000000000003</v>
      </c>
      <c r="M350" s="41"/>
    </row>
    <row r="351" spans="1:13" s="34" customFormat="1" ht="15.75" customHeight="1" x14ac:dyDescent="0.3">
      <c r="A351" s="24" t="str">
        <f t="shared" si="47"/>
        <v>L040S007</v>
      </c>
      <c r="B351" s="32" t="s">
        <v>86</v>
      </c>
      <c r="C351" s="33" t="s">
        <v>35</v>
      </c>
      <c r="D351" s="33" t="s">
        <v>29</v>
      </c>
      <c r="E351" s="24" t="str">
        <f t="shared" si="50"/>
        <v>Communication</v>
      </c>
      <c r="F351" s="24" t="str">
        <f t="shared" si="50"/>
        <v>IN_1</v>
      </c>
      <c r="G351" s="24" t="str">
        <f t="shared" si="50"/>
        <v>Practical</v>
      </c>
      <c r="H351" s="24" t="str">
        <f t="shared" si="45"/>
        <v>Offline</v>
      </c>
      <c r="I351" s="24">
        <v>0</v>
      </c>
      <c r="J351" s="24">
        <f t="shared" si="46"/>
        <v>0</v>
      </c>
      <c r="K351" s="35">
        <f t="shared" si="48"/>
        <v>0</v>
      </c>
      <c r="L351" s="24">
        <f t="shared" si="49"/>
        <v>0</v>
      </c>
      <c r="M351" s="41"/>
    </row>
    <row r="352" spans="1:13" s="34" customFormat="1" ht="15.75" customHeight="1" x14ac:dyDescent="0.3">
      <c r="A352" s="24" t="str">
        <f t="shared" si="47"/>
        <v>L040S001</v>
      </c>
      <c r="B352" s="32" t="s">
        <v>86</v>
      </c>
      <c r="C352" s="33" t="s">
        <v>43</v>
      </c>
      <c r="D352" s="33" t="s">
        <v>26</v>
      </c>
      <c r="E352" s="24" t="str">
        <f t="shared" si="50"/>
        <v>CS Fundamentals</v>
      </c>
      <c r="F352" s="24" t="str">
        <f t="shared" si="50"/>
        <v>IN_2</v>
      </c>
      <c r="G352" s="24" t="str">
        <f t="shared" si="50"/>
        <v>Theory Session</v>
      </c>
      <c r="H352" s="24" t="str">
        <f t="shared" si="45"/>
        <v>Online</v>
      </c>
      <c r="I352" s="24">
        <v>10</v>
      </c>
      <c r="J352" s="24">
        <f t="shared" si="46"/>
        <v>10</v>
      </c>
      <c r="K352" s="35">
        <f t="shared" si="48"/>
        <v>0.5</v>
      </c>
      <c r="L352" s="24">
        <f t="shared" si="49"/>
        <v>0.2</v>
      </c>
      <c r="M352" s="41"/>
    </row>
    <row r="353" spans="1:13" s="34" customFormat="1" ht="15.75" customHeight="1" x14ac:dyDescent="0.3">
      <c r="A353" s="24" t="str">
        <f t="shared" si="47"/>
        <v>L041S013</v>
      </c>
      <c r="B353" s="32" t="s">
        <v>87</v>
      </c>
      <c r="C353" s="33" t="s">
        <v>44</v>
      </c>
      <c r="D353" s="33" t="s">
        <v>26</v>
      </c>
      <c r="E353" s="24" t="str">
        <f t="shared" si="50"/>
        <v>Algebra Basics</v>
      </c>
      <c r="F353" s="24" t="str">
        <f t="shared" si="50"/>
        <v>IN_3</v>
      </c>
      <c r="G353" s="24" t="str">
        <f t="shared" si="50"/>
        <v>Workshop</v>
      </c>
      <c r="H353" s="24" t="str">
        <f t="shared" si="45"/>
        <v>Offline</v>
      </c>
      <c r="I353" s="24">
        <v>16</v>
      </c>
      <c r="J353" s="24">
        <f t="shared" si="46"/>
        <v>16</v>
      </c>
      <c r="K353" s="35">
        <f t="shared" si="48"/>
        <v>0.8</v>
      </c>
      <c r="L353" s="24">
        <f t="shared" si="49"/>
        <v>0.16000000000000003</v>
      </c>
      <c r="M353" s="41"/>
    </row>
    <row r="354" spans="1:13" s="34" customFormat="1" ht="15.75" customHeight="1" x14ac:dyDescent="0.3">
      <c r="A354" s="24" t="str">
        <f t="shared" si="47"/>
        <v>L041S019</v>
      </c>
      <c r="B354" s="32" t="s">
        <v>87</v>
      </c>
      <c r="C354" s="33" t="s">
        <v>38</v>
      </c>
      <c r="D354" s="33" t="s">
        <v>26</v>
      </c>
      <c r="E354" s="24" t="str">
        <f t="shared" si="50"/>
        <v>CS Fundamentals</v>
      </c>
      <c r="F354" s="24" t="str">
        <f t="shared" si="50"/>
        <v>IN_6</v>
      </c>
      <c r="G354" s="24" t="str">
        <f t="shared" si="50"/>
        <v>Workshop</v>
      </c>
      <c r="H354" s="24" t="str">
        <f t="shared" si="45"/>
        <v>Offline</v>
      </c>
      <c r="I354" s="24">
        <v>12</v>
      </c>
      <c r="J354" s="24">
        <f t="shared" si="46"/>
        <v>12</v>
      </c>
      <c r="K354" s="35">
        <f t="shared" si="48"/>
        <v>0.6</v>
      </c>
      <c r="L354" s="24">
        <f t="shared" si="49"/>
        <v>0.12</v>
      </c>
      <c r="M354" s="41"/>
    </row>
    <row r="355" spans="1:13" s="34" customFormat="1" ht="15.75" customHeight="1" x14ac:dyDescent="0.3">
      <c r="A355" s="24" t="str">
        <f t="shared" si="47"/>
        <v>L041S017</v>
      </c>
      <c r="B355" s="32" t="s">
        <v>87</v>
      </c>
      <c r="C355" s="33" t="s">
        <v>28</v>
      </c>
      <c r="D355" s="33" t="s">
        <v>26</v>
      </c>
      <c r="E355" s="24" t="str">
        <f t="shared" si="50"/>
        <v>Communication</v>
      </c>
      <c r="F355" s="24" t="str">
        <f t="shared" si="50"/>
        <v>IN_7</v>
      </c>
      <c r="G355" s="24" t="str">
        <f t="shared" si="50"/>
        <v>Practical</v>
      </c>
      <c r="H355" s="24" t="str">
        <f t="shared" si="45"/>
        <v>Offline</v>
      </c>
      <c r="I355" s="24">
        <v>0</v>
      </c>
      <c r="J355" s="24">
        <f t="shared" si="46"/>
        <v>0</v>
      </c>
      <c r="K355" s="35">
        <f t="shared" si="48"/>
        <v>0</v>
      </c>
      <c r="L355" s="24">
        <f t="shared" si="49"/>
        <v>0</v>
      </c>
      <c r="M355" s="41"/>
    </row>
    <row r="356" spans="1:13" s="34" customFormat="1" ht="15.75" customHeight="1" x14ac:dyDescent="0.3">
      <c r="A356" s="24" t="str">
        <f t="shared" si="47"/>
        <v>L041S020</v>
      </c>
      <c r="B356" s="32" t="s">
        <v>87</v>
      </c>
      <c r="C356" s="33" t="s">
        <v>30</v>
      </c>
      <c r="D356" s="33" t="s">
        <v>26</v>
      </c>
      <c r="E356" s="24" t="str">
        <f t="shared" si="50"/>
        <v>Foundations of ML</v>
      </c>
      <c r="F356" s="24" t="str">
        <f t="shared" si="50"/>
        <v>IN_4</v>
      </c>
      <c r="G356" s="24" t="str">
        <f t="shared" si="50"/>
        <v>Workshop</v>
      </c>
      <c r="H356" s="24" t="str">
        <f t="shared" si="45"/>
        <v>Online</v>
      </c>
      <c r="I356" s="24">
        <v>17</v>
      </c>
      <c r="J356" s="24">
        <f t="shared" si="46"/>
        <v>17</v>
      </c>
      <c r="K356" s="35">
        <f t="shared" si="48"/>
        <v>0.85</v>
      </c>
      <c r="L356" s="24">
        <f t="shared" si="49"/>
        <v>0.17</v>
      </c>
      <c r="M356" s="41"/>
    </row>
    <row r="357" spans="1:13" s="34" customFormat="1" ht="15.75" customHeight="1" x14ac:dyDescent="0.3">
      <c r="A357" s="24" t="str">
        <f t="shared" si="47"/>
        <v>L041S003</v>
      </c>
      <c r="B357" s="32" t="s">
        <v>87</v>
      </c>
      <c r="C357" s="33" t="s">
        <v>50</v>
      </c>
      <c r="D357" s="33" t="s">
        <v>26</v>
      </c>
      <c r="E357" s="24" t="str">
        <f t="shared" si="50"/>
        <v>Algebra Basics</v>
      </c>
      <c r="F357" s="24" t="str">
        <f t="shared" si="50"/>
        <v>IN_7</v>
      </c>
      <c r="G357" s="24" t="str">
        <f t="shared" si="50"/>
        <v>Workshop</v>
      </c>
      <c r="H357" s="24" t="str">
        <f t="shared" si="45"/>
        <v>Offline</v>
      </c>
      <c r="I357" s="24">
        <v>10</v>
      </c>
      <c r="J357" s="24">
        <f t="shared" si="46"/>
        <v>10</v>
      </c>
      <c r="K357" s="35">
        <f t="shared" si="48"/>
        <v>0.5</v>
      </c>
      <c r="L357" s="24">
        <f t="shared" si="49"/>
        <v>0.1</v>
      </c>
      <c r="M357" s="41"/>
    </row>
    <row r="358" spans="1:13" s="34" customFormat="1" ht="15.75" customHeight="1" x14ac:dyDescent="0.3">
      <c r="A358" s="24" t="str">
        <f t="shared" si="47"/>
        <v>L041S011</v>
      </c>
      <c r="B358" s="32" t="s">
        <v>87</v>
      </c>
      <c r="C358" s="33" t="s">
        <v>39</v>
      </c>
      <c r="D358" s="33" t="s">
        <v>29</v>
      </c>
      <c r="E358" s="24" t="str">
        <f t="shared" si="50"/>
        <v>Algebra Basics</v>
      </c>
      <c r="F358" s="24" t="str">
        <f t="shared" si="50"/>
        <v>IN_4</v>
      </c>
      <c r="G358" s="24" t="str">
        <f t="shared" si="50"/>
        <v>Theory Session</v>
      </c>
      <c r="H358" s="24" t="str">
        <f t="shared" si="45"/>
        <v>Online</v>
      </c>
      <c r="I358" s="24">
        <v>0</v>
      </c>
      <c r="J358" s="24">
        <f t="shared" si="46"/>
        <v>0</v>
      </c>
      <c r="K358" s="35">
        <f t="shared" si="48"/>
        <v>0</v>
      </c>
      <c r="L358" s="24">
        <f t="shared" si="49"/>
        <v>0</v>
      </c>
      <c r="M358" s="41"/>
    </row>
    <row r="359" spans="1:13" s="34" customFormat="1" ht="15.75" customHeight="1" x14ac:dyDescent="0.3">
      <c r="A359" s="24" t="str">
        <f t="shared" si="47"/>
        <v>L041S015</v>
      </c>
      <c r="B359" s="32" t="s">
        <v>87</v>
      </c>
      <c r="C359" s="33" t="s">
        <v>41</v>
      </c>
      <c r="D359" s="33" t="s">
        <v>26</v>
      </c>
      <c r="E359" s="24" t="str">
        <f t="shared" si="50"/>
        <v>Foundations of ML</v>
      </c>
      <c r="F359" s="24" t="str">
        <f t="shared" si="50"/>
        <v>IN_4</v>
      </c>
      <c r="G359" s="24" t="str">
        <f t="shared" si="50"/>
        <v>Practical</v>
      </c>
      <c r="H359" s="24" t="str">
        <f t="shared" si="45"/>
        <v>Offline</v>
      </c>
      <c r="I359" s="24">
        <v>14</v>
      </c>
      <c r="J359" s="24">
        <f t="shared" si="46"/>
        <v>14</v>
      </c>
      <c r="K359" s="35">
        <f t="shared" si="48"/>
        <v>0.7</v>
      </c>
      <c r="L359" s="24">
        <f t="shared" si="49"/>
        <v>0.27999999999999997</v>
      </c>
      <c r="M359" s="41"/>
    </row>
    <row r="360" spans="1:13" s="34" customFormat="1" ht="15.75" customHeight="1" x14ac:dyDescent="0.3">
      <c r="A360" s="24" t="str">
        <f t="shared" si="47"/>
        <v>L041S016</v>
      </c>
      <c r="B360" s="32" t="s">
        <v>87</v>
      </c>
      <c r="C360" s="33" t="s">
        <v>27</v>
      </c>
      <c r="D360" s="33" t="s">
        <v>26</v>
      </c>
      <c r="E360" s="24" t="str">
        <f t="shared" si="50"/>
        <v>Algebra Basics</v>
      </c>
      <c r="F360" s="24" t="str">
        <f t="shared" si="50"/>
        <v>IN_2</v>
      </c>
      <c r="G360" s="24" t="str">
        <f t="shared" si="50"/>
        <v>Workshop</v>
      </c>
      <c r="H360" s="24" t="str">
        <f t="shared" si="45"/>
        <v>Offline</v>
      </c>
      <c r="I360" s="24">
        <v>0</v>
      </c>
      <c r="J360" s="24">
        <f t="shared" si="46"/>
        <v>0</v>
      </c>
      <c r="K360" s="35">
        <f t="shared" si="48"/>
        <v>0</v>
      </c>
      <c r="L360" s="24">
        <f t="shared" si="49"/>
        <v>0</v>
      </c>
      <c r="M360" s="41"/>
    </row>
    <row r="361" spans="1:13" s="34" customFormat="1" ht="15.75" customHeight="1" x14ac:dyDescent="0.3">
      <c r="A361" s="24" t="str">
        <f t="shared" si="47"/>
        <v>L041S018</v>
      </c>
      <c r="B361" s="32" t="s">
        <v>87</v>
      </c>
      <c r="C361" s="33" t="s">
        <v>25</v>
      </c>
      <c r="D361" s="33" t="s">
        <v>26</v>
      </c>
      <c r="E361" s="24" t="str">
        <f t="shared" si="50"/>
        <v>CS Fundamentals</v>
      </c>
      <c r="F361" s="24" t="str">
        <f t="shared" si="50"/>
        <v>IN_5</v>
      </c>
      <c r="G361" s="24" t="str">
        <f t="shared" si="50"/>
        <v>Practical</v>
      </c>
      <c r="H361" s="24" t="str">
        <f t="shared" si="45"/>
        <v>Online</v>
      </c>
      <c r="I361" s="24">
        <v>0</v>
      </c>
      <c r="J361" s="24">
        <f t="shared" si="46"/>
        <v>0</v>
      </c>
      <c r="K361" s="35">
        <f t="shared" si="48"/>
        <v>0</v>
      </c>
      <c r="L361" s="24">
        <f t="shared" si="49"/>
        <v>0</v>
      </c>
      <c r="M361" s="41"/>
    </row>
    <row r="362" spans="1:13" s="34" customFormat="1" ht="15.75" customHeight="1" x14ac:dyDescent="0.3">
      <c r="A362" s="24" t="str">
        <f t="shared" si="47"/>
        <v>L041S007</v>
      </c>
      <c r="B362" s="32" t="s">
        <v>87</v>
      </c>
      <c r="C362" s="33" t="s">
        <v>35</v>
      </c>
      <c r="D362" s="33" t="s">
        <v>26</v>
      </c>
      <c r="E362" s="24" t="str">
        <f t="shared" si="50"/>
        <v>Communication</v>
      </c>
      <c r="F362" s="24" t="str">
        <f t="shared" si="50"/>
        <v>IN_1</v>
      </c>
      <c r="G362" s="24" t="str">
        <f t="shared" si="50"/>
        <v>Practical</v>
      </c>
      <c r="H362" s="24" t="str">
        <f t="shared" si="45"/>
        <v>Offline</v>
      </c>
      <c r="I362" s="24">
        <v>9</v>
      </c>
      <c r="J362" s="24">
        <f t="shared" si="46"/>
        <v>9</v>
      </c>
      <c r="K362" s="35">
        <f t="shared" si="48"/>
        <v>0.45</v>
      </c>
      <c r="L362" s="24">
        <f t="shared" si="49"/>
        <v>0.18000000000000002</v>
      </c>
      <c r="M362" s="41"/>
    </row>
    <row r="363" spans="1:13" s="34" customFormat="1" ht="15.75" customHeight="1" x14ac:dyDescent="0.3">
      <c r="A363" s="24" t="str">
        <f t="shared" si="47"/>
        <v>L041S001</v>
      </c>
      <c r="B363" s="32" t="s">
        <v>87</v>
      </c>
      <c r="C363" s="33" t="s">
        <v>43</v>
      </c>
      <c r="D363" s="33" t="s">
        <v>37</v>
      </c>
      <c r="E363" s="24" t="str">
        <f t="shared" ref="E363:G382" si="51">VLOOKUP($C363,session_details,E$1,FALSE)</f>
        <v>CS Fundamentals</v>
      </c>
      <c r="F363" s="24" t="str">
        <f t="shared" si="51"/>
        <v>IN_2</v>
      </c>
      <c r="G363" s="24" t="str">
        <f t="shared" si="51"/>
        <v>Theory Session</v>
      </c>
      <c r="H363" s="24" t="str">
        <f t="shared" si="45"/>
        <v>Online</v>
      </c>
      <c r="I363" s="24">
        <v>7</v>
      </c>
      <c r="J363" s="24">
        <f t="shared" si="46"/>
        <v>7</v>
      </c>
      <c r="K363" s="35">
        <f t="shared" si="48"/>
        <v>0.35</v>
      </c>
      <c r="L363" s="24">
        <f t="shared" si="49"/>
        <v>0.13999999999999999</v>
      </c>
      <c r="M363" s="41"/>
    </row>
    <row r="364" spans="1:13" s="34" customFormat="1" ht="15.75" customHeight="1" x14ac:dyDescent="0.3">
      <c r="A364" s="24" t="str">
        <f t="shared" si="47"/>
        <v>L042S015</v>
      </c>
      <c r="B364" s="32" t="s">
        <v>88</v>
      </c>
      <c r="C364" s="33" t="s">
        <v>41</v>
      </c>
      <c r="D364" s="33" t="s">
        <v>26</v>
      </c>
      <c r="E364" s="24" t="str">
        <f t="shared" si="51"/>
        <v>Foundations of ML</v>
      </c>
      <c r="F364" s="24" t="str">
        <f t="shared" si="51"/>
        <v>IN_4</v>
      </c>
      <c r="G364" s="24" t="str">
        <f t="shared" si="51"/>
        <v>Practical</v>
      </c>
      <c r="H364" s="24" t="str">
        <f t="shared" si="45"/>
        <v>Offline</v>
      </c>
      <c r="I364" s="24">
        <v>13</v>
      </c>
      <c r="J364" s="24">
        <f t="shared" si="46"/>
        <v>13</v>
      </c>
      <c r="K364" s="35">
        <f t="shared" si="48"/>
        <v>0.65</v>
      </c>
      <c r="L364" s="24">
        <f t="shared" si="49"/>
        <v>0.26</v>
      </c>
      <c r="M364" s="41"/>
    </row>
    <row r="365" spans="1:13" s="34" customFormat="1" ht="15.75" customHeight="1" x14ac:dyDescent="0.3">
      <c r="A365" s="24" t="str">
        <f t="shared" si="47"/>
        <v>L042S006</v>
      </c>
      <c r="B365" s="32" t="s">
        <v>88</v>
      </c>
      <c r="C365" s="33" t="s">
        <v>40</v>
      </c>
      <c r="D365" s="33" t="s">
        <v>26</v>
      </c>
      <c r="E365" s="24" t="str">
        <f t="shared" si="51"/>
        <v>Communication</v>
      </c>
      <c r="F365" s="24" t="str">
        <f t="shared" si="51"/>
        <v>IN_6</v>
      </c>
      <c r="G365" s="24" t="str">
        <f t="shared" si="51"/>
        <v>Theory Session</v>
      </c>
      <c r="H365" s="24" t="str">
        <f t="shared" si="45"/>
        <v>Online</v>
      </c>
      <c r="I365" s="24">
        <v>9</v>
      </c>
      <c r="J365" s="24">
        <f t="shared" si="46"/>
        <v>9</v>
      </c>
      <c r="K365" s="35">
        <f t="shared" si="48"/>
        <v>0.45</v>
      </c>
      <c r="L365" s="24">
        <f t="shared" si="49"/>
        <v>0.18000000000000002</v>
      </c>
      <c r="M365" s="41"/>
    </row>
    <row r="366" spans="1:13" s="34" customFormat="1" ht="15.75" customHeight="1" x14ac:dyDescent="0.3">
      <c r="A366" s="24" t="str">
        <f t="shared" si="47"/>
        <v>L042S019</v>
      </c>
      <c r="B366" s="32" t="s">
        <v>88</v>
      </c>
      <c r="C366" s="33" t="s">
        <v>38</v>
      </c>
      <c r="D366" s="33" t="s">
        <v>29</v>
      </c>
      <c r="E366" s="24" t="str">
        <f t="shared" si="51"/>
        <v>CS Fundamentals</v>
      </c>
      <c r="F366" s="24" t="str">
        <f t="shared" si="51"/>
        <v>IN_6</v>
      </c>
      <c r="G366" s="24" t="str">
        <f t="shared" si="51"/>
        <v>Workshop</v>
      </c>
      <c r="H366" s="24" t="str">
        <f t="shared" si="45"/>
        <v>Offline</v>
      </c>
      <c r="I366" s="24">
        <v>13</v>
      </c>
      <c r="J366" s="24">
        <f t="shared" si="46"/>
        <v>8</v>
      </c>
      <c r="K366" s="35">
        <f t="shared" si="48"/>
        <v>0.4</v>
      </c>
      <c r="L366" s="24">
        <f t="shared" si="49"/>
        <v>8.0000000000000016E-2</v>
      </c>
      <c r="M366" s="41"/>
    </row>
    <row r="367" spans="1:13" s="34" customFormat="1" ht="15.75" customHeight="1" x14ac:dyDescent="0.3">
      <c r="A367" s="24" t="str">
        <f t="shared" si="47"/>
        <v>L042S007</v>
      </c>
      <c r="B367" s="32" t="s">
        <v>88</v>
      </c>
      <c r="C367" s="33" t="s">
        <v>35</v>
      </c>
      <c r="D367" s="33" t="s">
        <v>29</v>
      </c>
      <c r="E367" s="24" t="str">
        <f t="shared" si="51"/>
        <v>Communication</v>
      </c>
      <c r="F367" s="24" t="str">
        <f t="shared" si="51"/>
        <v>IN_1</v>
      </c>
      <c r="G367" s="24" t="str">
        <f t="shared" si="51"/>
        <v>Practical</v>
      </c>
      <c r="H367" s="24" t="str">
        <f t="shared" si="45"/>
        <v>Offline</v>
      </c>
      <c r="I367" s="24">
        <v>8</v>
      </c>
      <c r="J367" s="24">
        <f t="shared" si="46"/>
        <v>3</v>
      </c>
      <c r="K367" s="35">
        <f t="shared" si="48"/>
        <v>0.15</v>
      </c>
      <c r="L367" s="24">
        <f t="shared" si="49"/>
        <v>0.06</v>
      </c>
      <c r="M367" s="41"/>
    </row>
    <row r="368" spans="1:13" s="34" customFormat="1" ht="15.75" customHeight="1" x14ac:dyDescent="0.3">
      <c r="A368" s="24" t="str">
        <f t="shared" si="47"/>
        <v>L042S004</v>
      </c>
      <c r="B368" s="32" t="s">
        <v>88</v>
      </c>
      <c r="C368" s="33" t="s">
        <v>47</v>
      </c>
      <c r="D368" s="33" t="s">
        <v>26</v>
      </c>
      <c r="E368" s="24" t="str">
        <f t="shared" si="51"/>
        <v>Foundations of ML</v>
      </c>
      <c r="F368" s="24" t="str">
        <f t="shared" si="51"/>
        <v>IN_4</v>
      </c>
      <c r="G368" s="24" t="str">
        <f t="shared" si="51"/>
        <v>Workshop</v>
      </c>
      <c r="H368" s="24" t="str">
        <f t="shared" si="45"/>
        <v>Online</v>
      </c>
      <c r="I368" s="24">
        <v>5</v>
      </c>
      <c r="J368" s="24">
        <f t="shared" si="46"/>
        <v>5</v>
      </c>
      <c r="K368" s="35">
        <f t="shared" si="48"/>
        <v>0.25</v>
      </c>
      <c r="L368" s="24">
        <f t="shared" si="49"/>
        <v>0.05</v>
      </c>
      <c r="M368" s="41"/>
    </row>
    <row r="369" spans="1:13" s="34" customFormat="1" ht="15.75" customHeight="1" x14ac:dyDescent="0.3">
      <c r="A369" s="24" t="str">
        <f t="shared" si="47"/>
        <v>L042S013</v>
      </c>
      <c r="B369" s="32" t="s">
        <v>88</v>
      </c>
      <c r="C369" s="33" t="s">
        <v>44</v>
      </c>
      <c r="D369" s="33" t="s">
        <v>26</v>
      </c>
      <c r="E369" s="24" t="str">
        <f t="shared" si="51"/>
        <v>Algebra Basics</v>
      </c>
      <c r="F369" s="24" t="str">
        <f t="shared" si="51"/>
        <v>IN_3</v>
      </c>
      <c r="G369" s="24" t="str">
        <f t="shared" si="51"/>
        <v>Workshop</v>
      </c>
      <c r="H369" s="24" t="str">
        <f t="shared" si="45"/>
        <v>Offline</v>
      </c>
      <c r="I369" s="24">
        <v>17</v>
      </c>
      <c r="J369" s="24">
        <f t="shared" si="46"/>
        <v>17</v>
      </c>
      <c r="K369" s="35">
        <f t="shared" si="48"/>
        <v>0.85</v>
      </c>
      <c r="L369" s="24">
        <f t="shared" si="49"/>
        <v>0.17</v>
      </c>
      <c r="M369" s="41"/>
    </row>
    <row r="370" spans="1:13" s="34" customFormat="1" ht="15.75" customHeight="1" x14ac:dyDescent="0.3">
      <c r="A370" s="24" t="str">
        <f t="shared" si="47"/>
        <v>L042S008</v>
      </c>
      <c r="B370" s="32" t="s">
        <v>88</v>
      </c>
      <c r="C370" s="33" t="s">
        <v>32</v>
      </c>
      <c r="D370" s="33" t="s">
        <v>26</v>
      </c>
      <c r="E370" s="24" t="str">
        <f t="shared" si="51"/>
        <v>CS Fundamentals</v>
      </c>
      <c r="F370" s="24" t="str">
        <f t="shared" si="51"/>
        <v>IN_2</v>
      </c>
      <c r="G370" s="24" t="str">
        <f t="shared" si="51"/>
        <v>Practical</v>
      </c>
      <c r="H370" s="24" t="str">
        <f t="shared" si="45"/>
        <v>Online</v>
      </c>
      <c r="I370" s="24">
        <v>0</v>
      </c>
      <c r="J370" s="24">
        <f t="shared" si="46"/>
        <v>0</v>
      </c>
      <c r="K370" s="35">
        <f t="shared" si="48"/>
        <v>0</v>
      </c>
      <c r="L370" s="24">
        <f t="shared" si="49"/>
        <v>0</v>
      </c>
      <c r="M370" s="41"/>
    </row>
    <row r="371" spans="1:13" s="34" customFormat="1" ht="15.75" customHeight="1" x14ac:dyDescent="0.3">
      <c r="A371" s="24" t="str">
        <f t="shared" si="47"/>
        <v>L042S001</v>
      </c>
      <c r="B371" s="32" t="s">
        <v>88</v>
      </c>
      <c r="C371" s="33" t="s">
        <v>43</v>
      </c>
      <c r="D371" s="33" t="s">
        <v>26</v>
      </c>
      <c r="E371" s="24" t="str">
        <f t="shared" si="51"/>
        <v>CS Fundamentals</v>
      </c>
      <c r="F371" s="24" t="str">
        <f t="shared" si="51"/>
        <v>IN_2</v>
      </c>
      <c r="G371" s="24" t="str">
        <f t="shared" si="51"/>
        <v>Theory Session</v>
      </c>
      <c r="H371" s="24" t="str">
        <f t="shared" si="45"/>
        <v>Online</v>
      </c>
      <c r="I371" s="24">
        <v>0</v>
      </c>
      <c r="J371" s="24">
        <f t="shared" si="46"/>
        <v>0</v>
      </c>
      <c r="K371" s="35">
        <f t="shared" si="48"/>
        <v>0</v>
      </c>
      <c r="L371" s="24">
        <f t="shared" si="49"/>
        <v>0</v>
      </c>
      <c r="M371" s="41"/>
    </row>
    <row r="372" spans="1:13" s="34" customFormat="1" ht="15.75" customHeight="1" x14ac:dyDescent="0.3">
      <c r="A372" s="24" t="str">
        <f t="shared" si="47"/>
        <v>L042S011</v>
      </c>
      <c r="B372" s="32" t="s">
        <v>88</v>
      </c>
      <c r="C372" s="33" t="s">
        <v>39</v>
      </c>
      <c r="D372" s="33" t="s">
        <v>26</v>
      </c>
      <c r="E372" s="24" t="str">
        <f t="shared" si="51"/>
        <v>Algebra Basics</v>
      </c>
      <c r="F372" s="24" t="str">
        <f t="shared" si="51"/>
        <v>IN_4</v>
      </c>
      <c r="G372" s="24" t="str">
        <f t="shared" si="51"/>
        <v>Theory Session</v>
      </c>
      <c r="H372" s="24" t="str">
        <f t="shared" si="45"/>
        <v>Online</v>
      </c>
      <c r="I372" s="24">
        <v>0</v>
      </c>
      <c r="J372" s="24">
        <f t="shared" si="46"/>
        <v>0</v>
      </c>
      <c r="K372" s="35">
        <f t="shared" si="48"/>
        <v>0</v>
      </c>
      <c r="L372" s="24">
        <f t="shared" si="49"/>
        <v>0</v>
      </c>
      <c r="M372" s="41"/>
    </row>
    <row r="373" spans="1:13" s="34" customFormat="1" ht="15.75" customHeight="1" x14ac:dyDescent="0.3">
      <c r="A373" s="24" t="str">
        <f t="shared" si="47"/>
        <v>L042S012</v>
      </c>
      <c r="B373" s="32" t="s">
        <v>88</v>
      </c>
      <c r="C373" s="33" t="s">
        <v>33</v>
      </c>
      <c r="D373" s="33" t="s">
        <v>26</v>
      </c>
      <c r="E373" s="24" t="str">
        <f t="shared" si="51"/>
        <v>Foundations of ML</v>
      </c>
      <c r="F373" s="24" t="str">
        <f t="shared" si="51"/>
        <v>IN_1</v>
      </c>
      <c r="G373" s="24" t="str">
        <f t="shared" si="51"/>
        <v>Workshop</v>
      </c>
      <c r="H373" s="24" t="str">
        <f t="shared" si="45"/>
        <v>Offline</v>
      </c>
      <c r="I373" s="24">
        <v>9</v>
      </c>
      <c r="J373" s="24">
        <f t="shared" si="46"/>
        <v>9</v>
      </c>
      <c r="K373" s="35">
        <f t="shared" si="48"/>
        <v>0.45</v>
      </c>
      <c r="L373" s="24">
        <f t="shared" si="49"/>
        <v>9.0000000000000011E-2</v>
      </c>
      <c r="M373" s="41"/>
    </row>
    <row r="374" spans="1:13" s="34" customFormat="1" ht="15.75" customHeight="1" x14ac:dyDescent="0.3">
      <c r="A374" s="24" t="str">
        <f t="shared" si="47"/>
        <v>L042S020</v>
      </c>
      <c r="B374" s="32" t="s">
        <v>88</v>
      </c>
      <c r="C374" s="33" t="s">
        <v>30</v>
      </c>
      <c r="D374" s="33" t="s">
        <v>29</v>
      </c>
      <c r="E374" s="24" t="str">
        <f t="shared" si="51"/>
        <v>Foundations of ML</v>
      </c>
      <c r="F374" s="24" t="str">
        <f t="shared" si="51"/>
        <v>IN_4</v>
      </c>
      <c r="G374" s="24" t="str">
        <f t="shared" si="51"/>
        <v>Workshop</v>
      </c>
      <c r="H374" s="24" t="str">
        <f t="shared" si="45"/>
        <v>Online</v>
      </c>
      <c r="I374" s="24">
        <v>13</v>
      </c>
      <c r="J374" s="24">
        <f t="shared" si="46"/>
        <v>8</v>
      </c>
      <c r="K374" s="35">
        <f t="shared" si="48"/>
        <v>0.4</v>
      </c>
      <c r="L374" s="24">
        <f t="shared" si="49"/>
        <v>8.0000000000000016E-2</v>
      </c>
      <c r="M374" s="41"/>
    </row>
    <row r="375" spans="1:13" s="34" customFormat="1" ht="15.75" customHeight="1" x14ac:dyDescent="0.3">
      <c r="A375" s="24" t="str">
        <f t="shared" si="47"/>
        <v>L042S010</v>
      </c>
      <c r="B375" s="32" t="s">
        <v>88</v>
      </c>
      <c r="C375" s="33" t="s">
        <v>34</v>
      </c>
      <c r="D375" s="33" t="s">
        <v>26</v>
      </c>
      <c r="E375" s="24" t="str">
        <f t="shared" si="51"/>
        <v>Foundations of ML</v>
      </c>
      <c r="F375" s="24" t="str">
        <f t="shared" si="51"/>
        <v>IN_6</v>
      </c>
      <c r="G375" s="24" t="str">
        <f t="shared" si="51"/>
        <v>Theory Session</v>
      </c>
      <c r="H375" s="24" t="str">
        <f t="shared" si="45"/>
        <v>Offline</v>
      </c>
      <c r="I375" s="24">
        <v>0</v>
      </c>
      <c r="J375" s="24">
        <f t="shared" si="46"/>
        <v>0</v>
      </c>
      <c r="K375" s="35">
        <f t="shared" si="48"/>
        <v>0</v>
      </c>
      <c r="L375" s="24">
        <f t="shared" si="49"/>
        <v>0</v>
      </c>
      <c r="M375" s="41"/>
    </row>
    <row r="376" spans="1:13" s="34" customFormat="1" ht="15.75" customHeight="1" x14ac:dyDescent="0.3">
      <c r="A376" s="24" t="str">
        <f t="shared" si="47"/>
        <v>L042S005</v>
      </c>
      <c r="B376" s="32" t="s">
        <v>88</v>
      </c>
      <c r="C376" s="33" t="s">
        <v>36</v>
      </c>
      <c r="D376" s="33" t="s">
        <v>26</v>
      </c>
      <c r="E376" s="24" t="str">
        <f t="shared" si="51"/>
        <v>Algebra Basics</v>
      </c>
      <c r="F376" s="24" t="str">
        <f t="shared" si="51"/>
        <v>IN_4</v>
      </c>
      <c r="G376" s="24" t="str">
        <f t="shared" si="51"/>
        <v>Workshop</v>
      </c>
      <c r="H376" s="24" t="str">
        <f t="shared" si="45"/>
        <v>Online</v>
      </c>
      <c r="I376" s="24">
        <v>0</v>
      </c>
      <c r="J376" s="24">
        <f t="shared" si="46"/>
        <v>0</v>
      </c>
      <c r="K376" s="35">
        <f t="shared" si="48"/>
        <v>0</v>
      </c>
      <c r="L376" s="24">
        <f t="shared" si="49"/>
        <v>0</v>
      </c>
      <c r="M376" s="41"/>
    </row>
    <row r="377" spans="1:13" s="34" customFormat="1" ht="15.75" customHeight="1" x14ac:dyDescent="0.3">
      <c r="A377" s="24" t="str">
        <f t="shared" si="47"/>
        <v>L043S010</v>
      </c>
      <c r="B377" s="32" t="s">
        <v>89</v>
      </c>
      <c r="C377" s="33" t="s">
        <v>34</v>
      </c>
      <c r="D377" s="33" t="s">
        <v>37</v>
      </c>
      <c r="E377" s="24" t="str">
        <f t="shared" si="51"/>
        <v>Foundations of ML</v>
      </c>
      <c r="F377" s="24" t="str">
        <f t="shared" si="51"/>
        <v>IN_6</v>
      </c>
      <c r="G377" s="24" t="str">
        <f t="shared" si="51"/>
        <v>Theory Session</v>
      </c>
      <c r="H377" s="24" t="str">
        <f t="shared" si="45"/>
        <v>Offline</v>
      </c>
      <c r="I377" s="24">
        <v>9</v>
      </c>
      <c r="J377" s="24">
        <f t="shared" si="46"/>
        <v>9</v>
      </c>
      <c r="K377" s="35">
        <f t="shared" si="48"/>
        <v>0.45</v>
      </c>
      <c r="L377" s="24">
        <f t="shared" si="49"/>
        <v>0.18000000000000002</v>
      </c>
      <c r="M377" s="41"/>
    </row>
    <row r="378" spans="1:13" s="34" customFormat="1" ht="15.75" customHeight="1" x14ac:dyDescent="0.3">
      <c r="A378" s="24" t="str">
        <f t="shared" si="47"/>
        <v>L043S003</v>
      </c>
      <c r="B378" s="32" t="s">
        <v>89</v>
      </c>
      <c r="C378" s="33" t="s">
        <v>50</v>
      </c>
      <c r="D378" s="33" t="s">
        <v>26</v>
      </c>
      <c r="E378" s="24" t="str">
        <f t="shared" si="51"/>
        <v>Algebra Basics</v>
      </c>
      <c r="F378" s="24" t="str">
        <f t="shared" si="51"/>
        <v>IN_7</v>
      </c>
      <c r="G378" s="24" t="str">
        <f t="shared" si="51"/>
        <v>Workshop</v>
      </c>
      <c r="H378" s="24" t="str">
        <f t="shared" si="45"/>
        <v>Offline</v>
      </c>
      <c r="I378" s="24">
        <v>0</v>
      </c>
      <c r="J378" s="24">
        <f t="shared" si="46"/>
        <v>0</v>
      </c>
      <c r="K378" s="35">
        <f t="shared" si="48"/>
        <v>0</v>
      </c>
      <c r="L378" s="24">
        <f t="shared" si="49"/>
        <v>0</v>
      </c>
      <c r="M378" s="41"/>
    </row>
    <row r="379" spans="1:13" s="34" customFormat="1" ht="15.75" customHeight="1" x14ac:dyDescent="0.3">
      <c r="A379" s="24" t="str">
        <f t="shared" si="47"/>
        <v>L043S013</v>
      </c>
      <c r="B379" s="32" t="s">
        <v>89</v>
      </c>
      <c r="C379" s="33" t="s">
        <v>44</v>
      </c>
      <c r="D379" s="33" t="s">
        <v>26</v>
      </c>
      <c r="E379" s="24" t="str">
        <f t="shared" si="51"/>
        <v>Algebra Basics</v>
      </c>
      <c r="F379" s="24" t="str">
        <f t="shared" si="51"/>
        <v>IN_3</v>
      </c>
      <c r="G379" s="24" t="str">
        <f t="shared" si="51"/>
        <v>Workshop</v>
      </c>
      <c r="H379" s="24" t="str">
        <f t="shared" si="45"/>
        <v>Offline</v>
      </c>
      <c r="I379" s="24">
        <v>10</v>
      </c>
      <c r="J379" s="24">
        <f t="shared" si="46"/>
        <v>10</v>
      </c>
      <c r="K379" s="35">
        <f t="shared" si="48"/>
        <v>0.5</v>
      </c>
      <c r="L379" s="24">
        <f t="shared" si="49"/>
        <v>0.1</v>
      </c>
      <c r="M379" s="41"/>
    </row>
    <row r="380" spans="1:13" s="34" customFormat="1" ht="15.75" customHeight="1" x14ac:dyDescent="0.3">
      <c r="A380" s="24" t="str">
        <f t="shared" si="47"/>
        <v>L043S014</v>
      </c>
      <c r="B380" s="32" t="s">
        <v>89</v>
      </c>
      <c r="C380" s="33" t="s">
        <v>46</v>
      </c>
      <c r="D380" s="33" t="s">
        <v>26</v>
      </c>
      <c r="E380" s="24" t="str">
        <f t="shared" si="51"/>
        <v>Foundations of ML</v>
      </c>
      <c r="F380" s="24" t="str">
        <f t="shared" si="51"/>
        <v>IN_2</v>
      </c>
      <c r="G380" s="24" t="str">
        <f t="shared" si="51"/>
        <v>Theory Session</v>
      </c>
      <c r="H380" s="24" t="str">
        <f t="shared" si="45"/>
        <v>Online</v>
      </c>
      <c r="I380" s="24">
        <v>0</v>
      </c>
      <c r="J380" s="24">
        <f t="shared" si="46"/>
        <v>0</v>
      </c>
      <c r="K380" s="35">
        <f t="shared" si="48"/>
        <v>0</v>
      </c>
      <c r="L380" s="24">
        <f t="shared" si="49"/>
        <v>0</v>
      </c>
      <c r="M380" s="41"/>
    </row>
    <row r="381" spans="1:13" s="34" customFormat="1" ht="15.75" customHeight="1" x14ac:dyDescent="0.3">
      <c r="A381" s="24" t="str">
        <f t="shared" si="47"/>
        <v>L043S011</v>
      </c>
      <c r="B381" s="32" t="s">
        <v>89</v>
      </c>
      <c r="C381" s="33" t="s">
        <v>39</v>
      </c>
      <c r="D381" s="33" t="s">
        <v>26</v>
      </c>
      <c r="E381" s="24" t="str">
        <f t="shared" si="51"/>
        <v>Algebra Basics</v>
      </c>
      <c r="F381" s="24" t="str">
        <f t="shared" si="51"/>
        <v>IN_4</v>
      </c>
      <c r="G381" s="24" t="str">
        <f t="shared" si="51"/>
        <v>Theory Session</v>
      </c>
      <c r="H381" s="24" t="str">
        <f t="shared" si="45"/>
        <v>Online</v>
      </c>
      <c r="I381" s="24">
        <v>5</v>
      </c>
      <c r="J381" s="24">
        <f t="shared" si="46"/>
        <v>5</v>
      </c>
      <c r="K381" s="35">
        <f t="shared" si="48"/>
        <v>0.25</v>
      </c>
      <c r="L381" s="24">
        <f t="shared" si="49"/>
        <v>0.1</v>
      </c>
      <c r="M381" s="41"/>
    </row>
    <row r="382" spans="1:13" s="34" customFormat="1" ht="15.75" customHeight="1" x14ac:dyDescent="0.3">
      <c r="A382" s="24" t="str">
        <f t="shared" si="47"/>
        <v>L043S018</v>
      </c>
      <c r="B382" s="32" t="s">
        <v>89</v>
      </c>
      <c r="C382" s="33" t="s">
        <v>25</v>
      </c>
      <c r="D382" s="33" t="s">
        <v>37</v>
      </c>
      <c r="E382" s="24" t="str">
        <f t="shared" si="51"/>
        <v>CS Fundamentals</v>
      </c>
      <c r="F382" s="24" t="str">
        <f t="shared" si="51"/>
        <v>IN_5</v>
      </c>
      <c r="G382" s="24" t="str">
        <f t="shared" si="51"/>
        <v>Practical</v>
      </c>
      <c r="H382" s="24" t="str">
        <f t="shared" si="45"/>
        <v>Online</v>
      </c>
      <c r="I382" s="24">
        <v>0</v>
      </c>
      <c r="J382" s="24">
        <f t="shared" si="46"/>
        <v>0</v>
      </c>
      <c r="K382" s="35">
        <f t="shared" si="48"/>
        <v>0</v>
      </c>
      <c r="L382" s="24">
        <f t="shared" si="49"/>
        <v>0</v>
      </c>
      <c r="M382" s="41"/>
    </row>
    <row r="383" spans="1:13" s="34" customFormat="1" ht="15.75" customHeight="1" x14ac:dyDescent="0.3">
      <c r="A383" s="24" t="str">
        <f t="shared" si="47"/>
        <v>L044S017</v>
      </c>
      <c r="B383" s="32" t="s">
        <v>90</v>
      </c>
      <c r="C383" s="33" t="s">
        <v>28</v>
      </c>
      <c r="D383" s="33" t="s">
        <v>26</v>
      </c>
      <c r="E383" s="24" t="str">
        <f t="shared" ref="E383:G402" si="52">VLOOKUP($C383,session_details,E$1,FALSE)</f>
        <v>Communication</v>
      </c>
      <c r="F383" s="24" t="str">
        <f t="shared" si="52"/>
        <v>IN_7</v>
      </c>
      <c r="G383" s="24" t="str">
        <f t="shared" si="52"/>
        <v>Practical</v>
      </c>
      <c r="H383" s="24" t="str">
        <f t="shared" si="45"/>
        <v>Offline</v>
      </c>
      <c r="I383" s="24">
        <v>11</v>
      </c>
      <c r="J383" s="24">
        <f t="shared" si="46"/>
        <v>11</v>
      </c>
      <c r="K383" s="35">
        <f t="shared" si="48"/>
        <v>0.55000000000000004</v>
      </c>
      <c r="L383" s="24">
        <f t="shared" si="49"/>
        <v>0.22000000000000003</v>
      </c>
      <c r="M383" s="41"/>
    </row>
    <row r="384" spans="1:13" s="34" customFormat="1" ht="15.75" customHeight="1" x14ac:dyDescent="0.3">
      <c r="A384" s="24" t="str">
        <f t="shared" si="47"/>
        <v>L044S009</v>
      </c>
      <c r="B384" s="32" t="s">
        <v>90</v>
      </c>
      <c r="C384" s="33" t="s">
        <v>45</v>
      </c>
      <c r="D384" s="33" t="s">
        <v>29</v>
      </c>
      <c r="E384" s="24" t="str">
        <f t="shared" si="52"/>
        <v>Communication</v>
      </c>
      <c r="F384" s="24" t="str">
        <f t="shared" si="52"/>
        <v>IN_6</v>
      </c>
      <c r="G384" s="24" t="str">
        <f t="shared" si="52"/>
        <v>Workshop</v>
      </c>
      <c r="H384" s="24" t="str">
        <f t="shared" si="45"/>
        <v>Offline</v>
      </c>
      <c r="I384" s="24">
        <v>16</v>
      </c>
      <c r="J384" s="24">
        <f t="shared" si="46"/>
        <v>11</v>
      </c>
      <c r="K384" s="35">
        <f t="shared" si="48"/>
        <v>0.55000000000000004</v>
      </c>
      <c r="L384" s="24">
        <f t="shared" si="49"/>
        <v>0.11000000000000001</v>
      </c>
      <c r="M384" s="41"/>
    </row>
    <row r="385" spans="1:13" s="34" customFormat="1" ht="15.75" customHeight="1" x14ac:dyDescent="0.3">
      <c r="A385" s="24" t="str">
        <f t="shared" si="47"/>
        <v>L044S002</v>
      </c>
      <c r="B385" s="32" t="s">
        <v>90</v>
      </c>
      <c r="C385" s="33" t="s">
        <v>31</v>
      </c>
      <c r="D385" s="33" t="s">
        <v>26</v>
      </c>
      <c r="E385" s="24" t="str">
        <f t="shared" si="52"/>
        <v>CS Fundamentals</v>
      </c>
      <c r="F385" s="24" t="str">
        <f t="shared" si="52"/>
        <v>IN_3</v>
      </c>
      <c r="G385" s="24" t="str">
        <f t="shared" si="52"/>
        <v>Practical</v>
      </c>
      <c r="H385" s="24" t="str">
        <f t="shared" si="45"/>
        <v>Offline</v>
      </c>
      <c r="I385" s="24">
        <v>0</v>
      </c>
      <c r="J385" s="24">
        <f t="shared" si="46"/>
        <v>0</v>
      </c>
      <c r="K385" s="35">
        <f t="shared" si="48"/>
        <v>0</v>
      </c>
      <c r="L385" s="24">
        <f t="shared" si="49"/>
        <v>0</v>
      </c>
      <c r="M385" s="41"/>
    </row>
    <row r="386" spans="1:13" s="34" customFormat="1" ht="15.75" customHeight="1" x14ac:dyDescent="0.3">
      <c r="A386" s="24" t="str">
        <f t="shared" si="47"/>
        <v>L044S012</v>
      </c>
      <c r="B386" s="32" t="s">
        <v>90</v>
      </c>
      <c r="C386" s="33" t="s">
        <v>33</v>
      </c>
      <c r="D386" s="33" t="s">
        <v>26</v>
      </c>
      <c r="E386" s="24" t="str">
        <f t="shared" si="52"/>
        <v>Foundations of ML</v>
      </c>
      <c r="F386" s="24" t="str">
        <f t="shared" si="52"/>
        <v>IN_1</v>
      </c>
      <c r="G386" s="24" t="str">
        <f t="shared" si="52"/>
        <v>Workshop</v>
      </c>
      <c r="H386" s="24" t="str">
        <f t="shared" si="45"/>
        <v>Offline</v>
      </c>
      <c r="I386" s="24">
        <v>0</v>
      </c>
      <c r="J386" s="24">
        <f t="shared" si="46"/>
        <v>0</v>
      </c>
      <c r="K386" s="35">
        <f t="shared" si="48"/>
        <v>0</v>
      </c>
      <c r="L386" s="24">
        <f t="shared" si="49"/>
        <v>0</v>
      </c>
      <c r="M386" s="41"/>
    </row>
    <row r="387" spans="1:13" s="34" customFormat="1" ht="15.75" customHeight="1" x14ac:dyDescent="0.3">
      <c r="A387" s="24" t="str">
        <f t="shared" si="47"/>
        <v>L044S006</v>
      </c>
      <c r="B387" s="32" t="s">
        <v>90</v>
      </c>
      <c r="C387" s="33" t="s">
        <v>40</v>
      </c>
      <c r="D387" s="33" t="s">
        <v>29</v>
      </c>
      <c r="E387" s="24" t="str">
        <f t="shared" si="52"/>
        <v>Communication</v>
      </c>
      <c r="F387" s="24" t="str">
        <f t="shared" si="52"/>
        <v>IN_6</v>
      </c>
      <c r="G387" s="24" t="str">
        <f t="shared" si="52"/>
        <v>Theory Session</v>
      </c>
      <c r="H387" s="24" t="str">
        <f t="shared" ref="H387:H450" si="53">VLOOKUP($C387,Session_mode,H$1,FALSE)</f>
        <v>Online</v>
      </c>
      <c r="I387" s="24">
        <v>0</v>
      </c>
      <c r="J387" s="24">
        <f t="shared" ref="J387:J450" si="54">IF(D387="Present", I387, IF(AND(D387="Absent", I387&lt;&gt;0), I387-5, I387))</f>
        <v>0</v>
      </c>
      <c r="K387" s="35">
        <f t="shared" si="48"/>
        <v>0</v>
      </c>
      <c r="L387" s="24">
        <f t="shared" si="49"/>
        <v>0</v>
      </c>
      <c r="M387" s="41"/>
    </row>
    <row r="388" spans="1:13" s="34" customFormat="1" ht="15.75" customHeight="1" x14ac:dyDescent="0.3">
      <c r="A388" s="24" t="str">
        <f t="shared" ref="A388:A450" si="55">B388&amp;C388</f>
        <v>L044S008</v>
      </c>
      <c r="B388" s="32" t="s">
        <v>90</v>
      </c>
      <c r="C388" s="33" t="s">
        <v>32</v>
      </c>
      <c r="D388" s="33" t="s">
        <v>26</v>
      </c>
      <c r="E388" s="24" t="str">
        <f t="shared" si="52"/>
        <v>CS Fundamentals</v>
      </c>
      <c r="F388" s="24" t="str">
        <f t="shared" si="52"/>
        <v>IN_2</v>
      </c>
      <c r="G388" s="24" t="str">
        <f t="shared" si="52"/>
        <v>Practical</v>
      </c>
      <c r="H388" s="24" t="str">
        <f t="shared" si="53"/>
        <v>Online</v>
      </c>
      <c r="I388" s="24">
        <v>0</v>
      </c>
      <c r="J388" s="24">
        <f t="shared" si="54"/>
        <v>0</v>
      </c>
      <c r="K388" s="35">
        <f t="shared" ref="K388:K450" si="56">J388/20</f>
        <v>0</v>
      </c>
      <c r="L388" s="24">
        <f t="shared" ref="L388:L450" si="57">IF(G388="Theory Session", K388*0.4,
 IF(G388="Practical",       K388*0.4,
 IF(G388="Workshop",        K388*0.2,
 0)))</f>
        <v>0</v>
      </c>
      <c r="M388" s="41"/>
    </row>
    <row r="389" spans="1:13" s="34" customFormat="1" ht="15.75" customHeight="1" x14ac:dyDescent="0.3">
      <c r="A389" s="24" t="str">
        <f t="shared" si="55"/>
        <v>L044S020</v>
      </c>
      <c r="B389" s="32" t="s">
        <v>90</v>
      </c>
      <c r="C389" s="33" t="s">
        <v>30</v>
      </c>
      <c r="D389" s="33" t="s">
        <v>37</v>
      </c>
      <c r="E389" s="24" t="str">
        <f t="shared" si="52"/>
        <v>Foundations of ML</v>
      </c>
      <c r="F389" s="24" t="str">
        <f t="shared" si="52"/>
        <v>IN_4</v>
      </c>
      <c r="G389" s="24" t="str">
        <f t="shared" si="52"/>
        <v>Workshop</v>
      </c>
      <c r="H389" s="24" t="str">
        <f t="shared" si="53"/>
        <v>Online</v>
      </c>
      <c r="I389" s="24">
        <v>13</v>
      </c>
      <c r="J389" s="24">
        <f t="shared" si="54"/>
        <v>13</v>
      </c>
      <c r="K389" s="35">
        <f t="shared" si="56"/>
        <v>0.65</v>
      </c>
      <c r="L389" s="24">
        <f t="shared" si="57"/>
        <v>0.13</v>
      </c>
      <c r="M389" s="41"/>
    </row>
    <row r="390" spans="1:13" s="34" customFormat="1" ht="15.75" customHeight="1" x14ac:dyDescent="0.3">
      <c r="A390" s="24" t="str">
        <f t="shared" si="55"/>
        <v>L045S001</v>
      </c>
      <c r="B390" s="32" t="s">
        <v>91</v>
      </c>
      <c r="C390" s="33" t="s">
        <v>43</v>
      </c>
      <c r="D390" s="33" t="s">
        <v>26</v>
      </c>
      <c r="E390" s="24" t="str">
        <f t="shared" si="52"/>
        <v>CS Fundamentals</v>
      </c>
      <c r="F390" s="24" t="str">
        <f t="shared" si="52"/>
        <v>IN_2</v>
      </c>
      <c r="G390" s="24" t="str">
        <f t="shared" si="52"/>
        <v>Theory Session</v>
      </c>
      <c r="H390" s="24" t="str">
        <f t="shared" si="53"/>
        <v>Online</v>
      </c>
      <c r="I390" s="24">
        <v>0</v>
      </c>
      <c r="J390" s="24">
        <f t="shared" si="54"/>
        <v>0</v>
      </c>
      <c r="K390" s="35">
        <f t="shared" si="56"/>
        <v>0</v>
      </c>
      <c r="L390" s="24">
        <f t="shared" si="57"/>
        <v>0</v>
      </c>
      <c r="M390" s="41"/>
    </row>
    <row r="391" spans="1:13" s="34" customFormat="1" ht="15.75" customHeight="1" x14ac:dyDescent="0.3">
      <c r="A391" s="24" t="str">
        <f t="shared" si="55"/>
        <v>L045S010</v>
      </c>
      <c r="B391" s="32" t="s">
        <v>91</v>
      </c>
      <c r="C391" s="33" t="s">
        <v>34</v>
      </c>
      <c r="D391" s="33" t="s">
        <v>29</v>
      </c>
      <c r="E391" s="24" t="str">
        <f t="shared" si="52"/>
        <v>Foundations of ML</v>
      </c>
      <c r="F391" s="24" t="str">
        <f t="shared" si="52"/>
        <v>IN_6</v>
      </c>
      <c r="G391" s="24" t="str">
        <f t="shared" si="52"/>
        <v>Theory Session</v>
      </c>
      <c r="H391" s="24" t="str">
        <f t="shared" si="53"/>
        <v>Offline</v>
      </c>
      <c r="I391" s="24">
        <v>0</v>
      </c>
      <c r="J391" s="24">
        <f t="shared" si="54"/>
        <v>0</v>
      </c>
      <c r="K391" s="35">
        <f t="shared" si="56"/>
        <v>0</v>
      </c>
      <c r="L391" s="24">
        <f t="shared" si="57"/>
        <v>0</v>
      </c>
      <c r="M391" s="41"/>
    </row>
    <row r="392" spans="1:13" s="34" customFormat="1" ht="15.75" customHeight="1" x14ac:dyDescent="0.3">
      <c r="A392" s="24" t="str">
        <f t="shared" si="55"/>
        <v>L045S006</v>
      </c>
      <c r="B392" s="32" t="s">
        <v>91</v>
      </c>
      <c r="C392" s="33" t="s">
        <v>40</v>
      </c>
      <c r="D392" s="33" t="s">
        <v>26</v>
      </c>
      <c r="E392" s="24" t="str">
        <f t="shared" si="52"/>
        <v>Communication</v>
      </c>
      <c r="F392" s="24" t="str">
        <f t="shared" si="52"/>
        <v>IN_6</v>
      </c>
      <c r="G392" s="24" t="str">
        <f t="shared" si="52"/>
        <v>Theory Session</v>
      </c>
      <c r="H392" s="24" t="str">
        <f t="shared" si="53"/>
        <v>Online</v>
      </c>
      <c r="I392" s="24">
        <v>0</v>
      </c>
      <c r="J392" s="24">
        <f t="shared" si="54"/>
        <v>0</v>
      </c>
      <c r="K392" s="35">
        <f t="shared" si="56"/>
        <v>0</v>
      </c>
      <c r="L392" s="24">
        <f t="shared" si="57"/>
        <v>0</v>
      </c>
      <c r="M392" s="41"/>
    </row>
    <row r="393" spans="1:13" s="34" customFormat="1" ht="15.75" customHeight="1" x14ac:dyDescent="0.3">
      <c r="A393" s="24" t="str">
        <f t="shared" si="55"/>
        <v>L045S014</v>
      </c>
      <c r="B393" s="32" t="s">
        <v>91</v>
      </c>
      <c r="C393" s="33" t="s">
        <v>46</v>
      </c>
      <c r="D393" s="33" t="s">
        <v>26</v>
      </c>
      <c r="E393" s="24" t="str">
        <f t="shared" si="52"/>
        <v>Foundations of ML</v>
      </c>
      <c r="F393" s="24" t="str">
        <f t="shared" si="52"/>
        <v>IN_2</v>
      </c>
      <c r="G393" s="24" t="str">
        <f t="shared" si="52"/>
        <v>Theory Session</v>
      </c>
      <c r="H393" s="24" t="str">
        <f t="shared" si="53"/>
        <v>Online</v>
      </c>
      <c r="I393" s="24">
        <v>0</v>
      </c>
      <c r="J393" s="24">
        <f t="shared" si="54"/>
        <v>0</v>
      </c>
      <c r="K393" s="35">
        <f t="shared" si="56"/>
        <v>0</v>
      </c>
      <c r="L393" s="24">
        <f t="shared" si="57"/>
        <v>0</v>
      </c>
      <c r="M393" s="41"/>
    </row>
    <row r="394" spans="1:13" s="34" customFormat="1" ht="15.75" customHeight="1" x14ac:dyDescent="0.3">
      <c r="A394" s="24" t="str">
        <f t="shared" si="55"/>
        <v>L045S005</v>
      </c>
      <c r="B394" s="32" t="s">
        <v>91</v>
      </c>
      <c r="C394" s="33" t="s">
        <v>36</v>
      </c>
      <c r="D394" s="33" t="s">
        <v>26</v>
      </c>
      <c r="E394" s="24" t="str">
        <f t="shared" si="52"/>
        <v>Algebra Basics</v>
      </c>
      <c r="F394" s="24" t="str">
        <f t="shared" si="52"/>
        <v>IN_4</v>
      </c>
      <c r="G394" s="24" t="str">
        <f t="shared" si="52"/>
        <v>Workshop</v>
      </c>
      <c r="H394" s="24" t="str">
        <f t="shared" si="53"/>
        <v>Online</v>
      </c>
      <c r="I394" s="24">
        <v>0</v>
      </c>
      <c r="J394" s="24">
        <f t="shared" si="54"/>
        <v>0</v>
      </c>
      <c r="K394" s="35">
        <f t="shared" si="56"/>
        <v>0</v>
      </c>
      <c r="L394" s="24">
        <f t="shared" si="57"/>
        <v>0</v>
      </c>
      <c r="M394" s="41"/>
    </row>
    <row r="395" spans="1:13" s="34" customFormat="1" ht="15.75" customHeight="1" x14ac:dyDescent="0.3">
      <c r="A395" s="24" t="str">
        <f t="shared" si="55"/>
        <v>L046S012</v>
      </c>
      <c r="B395" s="32" t="s">
        <v>92</v>
      </c>
      <c r="C395" s="33" t="s">
        <v>33</v>
      </c>
      <c r="D395" s="33" t="s">
        <v>37</v>
      </c>
      <c r="E395" s="24" t="str">
        <f t="shared" si="52"/>
        <v>Foundations of ML</v>
      </c>
      <c r="F395" s="24" t="str">
        <f t="shared" si="52"/>
        <v>IN_1</v>
      </c>
      <c r="G395" s="24" t="str">
        <f t="shared" si="52"/>
        <v>Workshop</v>
      </c>
      <c r="H395" s="24" t="str">
        <f t="shared" si="53"/>
        <v>Offline</v>
      </c>
      <c r="I395" s="24">
        <v>6</v>
      </c>
      <c r="J395" s="24">
        <f t="shared" si="54"/>
        <v>6</v>
      </c>
      <c r="K395" s="35">
        <f t="shared" si="56"/>
        <v>0.3</v>
      </c>
      <c r="L395" s="24">
        <f t="shared" si="57"/>
        <v>0.06</v>
      </c>
      <c r="M395" s="41"/>
    </row>
    <row r="396" spans="1:13" s="34" customFormat="1" ht="15.75" customHeight="1" x14ac:dyDescent="0.3">
      <c r="A396" s="24" t="str">
        <f t="shared" si="55"/>
        <v>L046S005</v>
      </c>
      <c r="B396" s="32" t="s">
        <v>92</v>
      </c>
      <c r="C396" s="33" t="s">
        <v>36</v>
      </c>
      <c r="D396" s="33" t="s">
        <v>26</v>
      </c>
      <c r="E396" s="24" t="str">
        <f t="shared" si="52"/>
        <v>Algebra Basics</v>
      </c>
      <c r="F396" s="24" t="str">
        <f t="shared" si="52"/>
        <v>IN_4</v>
      </c>
      <c r="G396" s="24" t="str">
        <f t="shared" si="52"/>
        <v>Workshop</v>
      </c>
      <c r="H396" s="24" t="str">
        <f t="shared" si="53"/>
        <v>Online</v>
      </c>
      <c r="I396" s="24">
        <v>0</v>
      </c>
      <c r="J396" s="24">
        <f t="shared" si="54"/>
        <v>0</v>
      </c>
      <c r="K396" s="35">
        <f t="shared" si="56"/>
        <v>0</v>
      </c>
      <c r="L396" s="24">
        <f t="shared" si="57"/>
        <v>0</v>
      </c>
      <c r="M396" s="41"/>
    </row>
    <row r="397" spans="1:13" s="34" customFormat="1" ht="15.75" customHeight="1" x14ac:dyDescent="0.3">
      <c r="A397" s="24" t="str">
        <f t="shared" si="55"/>
        <v>L046S004</v>
      </c>
      <c r="B397" s="32" t="s">
        <v>92</v>
      </c>
      <c r="C397" s="33" t="s">
        <v>47</v>
      </c>
      <c r="D397" s="33" t="s">
        <v>26</v>
      </c>
      <c r="E397" s="24" t="str">
        <f t="shared" si="52"/>
        <v>Foundations of ML</v>
      </c>
      <c r="F397" s="24" t="str">
        <f t="shared" si="52"/>
        <v>IN_4</v>
      </c>
      <c r="G397" s="24" t="str">
        <f t="shared" si="52"/>
        <v>Workshop</v>
      </c>
      <c r="H397" s="24" t="str">
        <f t="shared" si="53"/>
        <v>Online</v>
      </c>
      <c r="I397" s="24">
        <v>0</v>
      </c>
      <c r="J397" s="24">
        <f t="shared" si="54"/>
        <v>0</v>
      </c>
      <c r="K397" s="35">
        <f t="shared" si="56"/>
        <v>0</v>
      </c>
      <c r="L397" s="24">
        <f t="shared" si="57"/>
        <v>0</v>
      </c>
      <c r="M397" s="41"/>
    </row>
    <row r="398" spans="1:13" s="34" customFormat="1" ht="15.75" customHeight="1" x14ac:dyDescent="0.3">
      <c r="A398" s="24" t="str">
        <f t="shared" si="55"/>
        <v>L046S016</v>
      </c>
      <c r="B398" s="32" t="s">
        <v>92</v>
      </c>
      <c r="C398" s="33" t="s">
        <v>27</v>
      </c>
      <c r="D398" s="33" t="s">
        <v>29</v>
      </c>
      <c r="E398" s="24" t="str">
        <f t="shared" si="52"/>
        <v>Algebra Basics</v>
      </c>
      <c r="F398" s="24" t="str">
        <f t="shared" si="52"/>
        <v>IN_2</v>
      </c>
      <c r="G398" s="24" t="str">
        <f t="shared" si="52"/>
        <v>Workshop</v>
      </c>
      <c r="H398" s="24" t="str">
        <f t="shared" si="53"/>
        <v>Offline</v>
      </c>
      <c r="I398" s="24">
        <v>0</v>
      </c>
      <c r="J398" s="24">
        <f t="shared" si="54"/>
        <v>0</v>
      </c>
      <c r="K398" s="35">
        <f t="shared" si="56"/>
        <v>0</v>
      </c>
      <c r="L398" s="24">
        <f t="shared" si="57"/>
        <v>0</v>
      </c>
      <c r="M398" s="41"/>
    </row>
    <row r="399" spans="1:13" s="34" customFormat="1" ht="15.75" customHeight="1" x14ac:dyDescent="0.3">
      <c r="A399" s="24" t="str">
        <f t="shared" si="55"/>
        <v>L046S011</v>
      </c>
      <c r="B399" s="32" t="s">
        <v>92</v>
      </c>
      <c r="C399" s="33" t="s">
        <v>39</v>
      </c>
      <c r="D399" s="33" t="s">
        <v>37</v>
      </c>
      <c r="E399" s="24" t="str">
        <f t="shared" si="52"/>
        <v>Algebra Basics</v>
      </c>
      <c r="F399" s="24" t="str">
        <f t="shared" si="52"/>
        <v>IN_4</v>
      </c>
      <c r="G399" s="24" t="str">
        <f t="shared" si="52"/>
        <v>Theory Session</v>
      </c>
      <c r="H399" s="24" t="str">
        <f t="shared" si="53"/>
        <v>Online</v>
      </c>
      <c r="I399" s="24">
        <v>14</v>
      </c>
      <c r="J399" s="24">
        <f t="shared" si="54"/>
        <v>14</v>
      </c>
      <c r="K399" s="35">
        <f t="shared" si="56"/>
        <v>0.7</v>
      </c>
      <c r="L399" s="24">
        <f t="shared" si="57"/>
        <v>0.27999999999999997</v>
      </c>
      <c r="M399" s="41"/>
    </row>
    <row r="400" spans="1:13" s="34" customFormat="1" ht="15.75" customHeight="1" x14ac:dyDescent="0.3">
      <c r="A400" s="24" t="str">
        <f t="shared" si="55"/>
        <v>L046S006</v>
      </c>
      <c r="B400" s="32" t="s">
        <v>92</v>
      </c>
      <c r="C400" s="33" t="s">
        <v>40</v>
      </c>
      <c r="D400" s="33" t="s">
        <v>29</v>
      </c>
      <c r="E400" s="24" t="str">
        <f t="shared" si="52"/>
        <v>Communication</v>
      </c>
      <c r="F400" s="24" t="str">
        <f t="shared" si="52"/>
        <v>IN_6</v>
      </c>
      <c r="G400" s="24" t="str">
        <f t="shared" si="52"/>
        <v>Theory Session</v>
      </c>
      <c r="H400" s="24" t="str">
        <f t="shared" si="53"/>
        <v>Online</v>
      </c>
      <c r="I400" s="24">
        <v>0</v>
      </c>
      <c r="J400" s="24">
        <f t="shared" si="54"/>
        <v>0</v>
      </c>
      <c r="K400" s="35">
        <f t="shared" si="56"/>
        <v>0</v>
      </c>
      <c r="L400" s="24">
        <f t="shared" si="57"/>
        <v>0</v>
      </c>
      <c r="M400" s="41"/>
    </row>
    <row r="401" spans="1:13" s="34" customFormat="1" ht="15.75" customHeight="1" x14ac:dyDescent="0.3">
      <c r="A401" s="24" t="str">
        <f t="shared" si="55"/>
        <v>L046S001</v>
      </c>
      <c r="B401" s="32" t="s">
        <v>92</v>
      </c>
      <c r="C401" s="33" t="s">
        <v>43</v>
      </c>
      <c r="D401" s="33" t="s">
        <v>26</v>
      </c>
      <c r="E401" s="24" t="str">
        <f t="shared" si="52"/>
        <v>CS Fundamentals</v>
      </c>
      <c r="F401" s="24" t="str">
        <f t="shared" si="52"/>
        <v>IN_2</v>
      </c>
      <c r="G401" s="24" t="str">
        <f t="shared" si="52"/>
        <v>Theory Session</v>
      </c>
      <c r="H401" s="24" t="str">
        <f t="shared" si="53"/>
        <v>Online</v>
      </c>
      <c r="I401" s="24">
        <v>0</v>
      </c>
      <c r="J401" s="24">
        <f t="shared" si="54"/>
        <v>0</v>
      </c>
      <c r="K401" s="35">
        <f t="shared" si="56"/>
        <v>0</v>
      </c>
      <c r="L401" s="24">
        <f t="shared" si="57"/>
        <v>0</v>
      </c>
      <c r="M401" s="41"/>
    </row>
    <row r="402" spans="1:13" s="34" customFormat="1" ht="15.75" customHeight="1" x14ac:dyDescent="0.3">
      <c r="A402" s="24" t="str">
        <f t="shared" si="55"/>
        <v>L047S013</v>
      </c>
      <c r="B402" s="32" t="s">
        <v>93</v>
      </c>
      <c r="C402" s="33" t="s">
        <v>44</v>
      </c>
      <c r="D402" s="33" t="s">
        <v>26</v>
      </c>
      <c r="E402" s="24" t="str">
        <f t="shared" si="52"/>
        <v>Algebra Basics</v>
      </c>
      <c r="F402" s="24" t="str">
        <f t="shared" si="52"/>
        <v>IN_3</v>
      </c>
      <c r="G402" s="24" t="str">
        <f t="shared" si="52"/>
        <v>Workshop</v>
      </c>
      <c r="H402" s="24" t="str">
        <f t="shared" si="53"/>
        <v>Offline</v>
      </c>
      <c r="I402" s="24">
        <v>9</v>
      </c>
      <c r="J402" s="24">
        <f t="shared" si="54"/>
        <v>9</v>
      </c>
      <c r="K402" s="35">
        <f t="shared" si="56"/>
        <v>0.45</v>
      </c>
      <c r="L402" s="24">
        <f t="shared" si="57"/>
        <v>9.0000000000000011E-2</v>
      </c>
      <c r="M402" s="41"/>
    </row>
    <row r="403" spans="1:13" s="34" customFormat="1" ht="15.75" customHeight="1" x14ac:dyDescent="0.3">
      <c r="A403" s="24" t="str">
        <f t="shared" si="55"/>
        <v>L047S020</v>
      </c>
      <c r="B403" s="32" t="s">
        <v>93</v>
      </c>
      <c r="C403" s="33" t="s">
        <v>30</v>
      </c>
      <c r="D403" s="33" t="s">
        <v>26</v>
      </c>
      <c r="E403" s="24" t="str">
        <f t="shared" ref="E403:G422" si="58">VLOOKUP($C403,session_details,E$1,FALSE)</f>
        <v>Foundations of ML</v>
      </c>
      <c r="F403" s="24" t="str">
        <f t="shared" si="58"/>
        <v>IN_4</v>
      </c>
      <c r="G403" s="24" t="str">
        <f t="shared" si="58"/>
        <v>Workshop</v>
      </c>
      <c r="H403" s="24" t="str">
        <f t="shared" si="53"/>
        <v>Online</v>
      </c>
      <c r="I403" s="24">
        <v>7</v>
      </c>
      <c r="J403" s="24">
        <f t="shared" si="54"/>
        <v>7</v>
      </c>
      <c r="K403" s="35">
        <f t="shared" si="56"/>
        <v>0.35</v>
      </c>
      <c r="L403" s="24">
        <f t="shared" si="57"/>
        <v>6.9999999999999993E-2</v>
      </c>
      <c r="M403" s="41"/>
    </row>
    <row r="404" spans="1:13" s="34" customFormat="1" ht="15.75" customHeight="1" x14ac:dyDescent="0.3">
      <c r="A404" s="24" t="str">
        <f t="shared" si="55"/>
        <v>L047S018</v>
      </c>
      <c r="B404" s="32" t="s">
        <v>93</v>
      </c>
      <c r="C404" s="33" t="s">
        <v>25</v>
      </c>
      <c r="D404" s="33" t="s">
        <v>26</v>
      </c>
      <c r="E404" s="24" t="str">
        <f t="shared" si="58"/>
        <v>CS Fundamentals</v>
      </c>
      <c r="F404" s="24" t="str">
        <f t="shared" si="58"/>
        <v>IN_5</v>
      </c>
      <c r="G404" s="24" t="str">
        <f t="shared" si="58"/>
        <v>Practical</v>
      </c>
      <c r="H404" s="24" t="str">
        <f t="shared" si="53"/>
        <v>Online</v>
      </c>
      <c r="I404" s="24">
        <v>0</v>
      </c>
      <c r="J404" s="24">
        <f t="shared" si="54"/>
        <v>0</v>
      </c>
      <c r="K404" s="35">
        <f t="shared" si="56"/>
        <v>0</v>
      </c>
      <c r="L404" s="24">
        <f t="shared" si="57"/>
        <v>0</v>
      </c>
      <c r="M404" s="41"/>
    </row>
    <row r="405" spans="1:13" s="34" customFormat="1" ht="15.75" customHeight="1" x14ac:dyDescent="0.3">
      <c r="A405" s="24" t="str">
        <f t="shared" si="55"/>
        <v>L047S012</v>
      </c>
      <c r="B405" s="32" t="s">
        <v>93</v>
      </c>
      <c r="C405" s="33" t="s">
        <v>33</v>
      </c>
      <c r="D405" s="33" t="s">
        <v>37</v>
      </c>
      <c r="E405" s="24" t="str">
        <f t="shared" si="58"/>
        <v>Foundations of ML</v>
      </c>
      <c r="F405" s="24" t="str">
        <f t="shared" si="58"/>
        <v>IN_1</v>
      </c>
      <c r="G405" s="24" t="str">
        <f t="shared" si="58"/>
        <v>Workshop</v>
      </c>
      <c r="H405" s="24" t="str">
        <f t="shared" si="53"/>
        <v>Offline</v>
      </c>
      <c r="I405" s="24">
        <v>17</v>
      </c>
      <c r="J405" s="24">
        <f t="shared" si="54"/>
        <v>17</v>
      </c>
      <c r="K405" s="35">
        <f t="shared" si="56"/>
        <v>0.85</v>
      </c>
      <c r="L405" s="24">
        <f t="shared" si="57"/>
        <v>0.17</v>
      </c>
      <c r="M405" s="41"/>
    </row>
    <row r="406" spans="1:13" s="34" customFormat="1" ht="15.75" customHeight="1" x14ac:dyDescent="0.3">
      <c r="A406" s="24" t="str">
        <f t="shared" si="55"/>
        <v>L047S008</v>
      </c>
      <c r="B406" s="32" t="s">
        <v>93</v>
      </c>
      <c r="C406" s="33" t="s">
        <v>32</v>
      </c>
      <c r="D406" s="33" t="s">
        <v>37</v>
      </c>
      <c r="E406" s="24" t="str">
        <f t="shared" si="58"/>
        <v>CS Fundamentals</v>
      </c>
      <c r="F406" s="24" t="str">
        <f t="shared" si="58"/>
        <v>IN_2</v>
      </c>
      <c r="G406" s="24" t="str">
        <f t="shared" si="58"/>
        <v>Practical</v>
      </c>
      <c r="H406" s="24" t="str">
        <f t="shared" si="53"/>
        <v>Online</v>
      </c>
      <c r="I406" s="24">
        <v>8</v>
      </c>
      <c r="J406" s="24">
        <f t="shared" si="54"/>
        <v>8</v>
      </c>
      <c r="K406" s="35">
        <f t="shared" si="56"/>
        <v>0.4</v>
      </c>
      <c r="L406" s="24">
        <f t="shared" si="57"/>
        <v>0.16000000000000003</v>
      </c>
      <c r="M406" s="41"/>
    </row>
    <row r="407" spans="1:13" s="34" customFormat="1" ht="15.75" customHeight="1" x14ac:dyDescent="0.3">
      <c r="A407" s="24" t="str">
        <f t="shared" si="55"/>
        <v>L047S010</v>
      </c>
      <c r="B407" s="32" t="s">
        <v>93</v>
      </c>
      <c r="C407" s="33" t="s">
        <v>34</v>
      </c>
      <c r="D407" s="33" t="s">
        <v>26</v>
      </c>
      <c r="E407" s="24" t="str">
        <f t="shared" si="58"/>
        <v>Foundations of ML</v>
      </c>
      <c r="F407" s="24" t="str">
        <f t="shared" si="58"/>
        <v>IN_6</v>
      </c>
      <c r="G407" s="24" t="str">
        <f t="shared" si="58"/>
        <v>Theory Session</v>
      </c>
      <c r="H407" s="24" t="str">
        <f t="shared" si="53"/>
        <v>Offline</v>
      </c>
      <c r="I407" s="24">
        <v>0</v>
      </c>
      <c r="J407" s="24">
        <f t="shared" si="54"/>
        <v>0</v>
      </c>
      <c r="K407" s="35">
        <f t="shared" si="56"/>
        <v>0</v>
      </c>
      <c r="L407" s="24">
        <f t="shared" si="57"/>
        <v>0</v>
      </c>
      <c r="M407" s="41"/>
    </row>
    <row r="408" spans="1:13" s="34" customFormat="1" ht="15.75" customHeight="1" x14ac:dyDescent="0.3">
      <c r="A408" s="24" t="str">
        <f t="shared" si="55"/>
        <v>L047S001</v>
      </c>
      <c r="B408" s="32" t="s">
        <v>93</v>
      </c>
      <c r="C408" s="33" t="s">
        <v>43</v>
      </c>
      <c r="D408" s="33" t="s">
        <v>29</v>
      </c>
      <c r="E408" s="24" t="str">
        <f t="shared" si="58"/>
        <v>CS Fundamentals</v>
      </c>
      <c r="F408" s="24" t="str">
        <f t="shared" si="58"/>
        <v>IN_2</v>
      </c>
      <c r="G408" s="24" t="str">
        <f t="shared" si="58"/>
        <v>Theory Session</v>
      </c>
      <c r="H408" s="24" t="str">
        <f t="shared" si="53"/>
        <v>Online</v>
      </c>
      <c r="I408" s="24">
        <v>0</v>
      </c>
      <c r="J408" s="24">
        <f t="shared" si="54"/>
        <v>0</v>
      </c>
      <c r="K408" s="35">
        <f t="shared" si="56"/>
        <v>0</v>
      </c>
      <c r="L408" s="24">
        <f t="shared" si="57"/>
        <v>0</v>
      </c>
      <c r="M408" s="41"/>
    </row>
    <row r="409" spans="1:13" s="34" customFormat="1" ht="15.75" customHeight="1" x14ac:dyDescent="0.3">
      <c r="A409" s="24" t="str">
        <f t="shared" si="55"/>
        <v>L047S003</v>
      </c>
      <c r="B409" s="32" t="s">
        <v>93</v>
      </c>
      <c r="C409" s="33" t="s">
        <v>50</v>
      </c>
      <c r="D409" s="33" t="s">
        <v>37</v>
      </c>
      <c r="E409" s="24" t="str">
        <f t="shared" si="58"/>
        <v>Algebra Basics</v>
      </c>
      <c r="F409" s="24" t="str">
        <f t="shared" si="58"/>
        <v>IN_7</v>
      </c>
      <c r="G409" s="24" t="str">
        <f t="shared" si="58"/>
        <v>Workshop</v>
      </c>
      <c r="H409" s="24" t="str">
        <f t="shared" si="53"/>
        <v>Offline</v>
      </c>
      <c r="I409" s="24">
        <v>11</v>
      </c>
      <c r="J409" s="24">
        <f t="shared" si="54"/>
        <v>11</v>
      </c>
      <c r="K409" s="35">
        <f t="shared" si="56"/>
        <v>0.55000000000000004</v>
      </c>
      <c r="L409" s="24">
        <f t="shared" si="57"/>
        <v>0.11000000000000001</v>
      </c>
      <c r="M409" s="41"/>
    </row>
    <row r="410" spans="1:13" s="34" customFormat="1" ht="15.75" customHeight="1" x14ac:dyDescent="0.3">
      <c r="A410" s="24" t="str">
        <f t="shared" si="55"/>
        <v>L047S015</v>
      </c>
      <c r="B410" s="32" t="s">
        <v>93</v>
      </c>
      <c r="C410" s="33" t="s">
        <v>41</v>
      </c>
      <c r="D410" s="33" t="s">
        <v>26</v>
      </c>
      <c r="E410" s="24" t="str">
        <f t="shared" si="58"/>
        <v>Foundations of ML</v>
      </c>
      <c r="F410" s="24" t="str">
        <f t="shared" si="58"/>
        <v>IN_4</v>
      </c>
      <c r="G410" s="24" t="str">
        <f t="shared" si="58"/>
        <v>Practical</v>
      </c>
      <c r="H410" s="24" t="str">
        <f t="shared" si="53"/>
        <v>Offline</v>
      </c>
      <c r="I410" s="24">
        <v>4</v>
      </c>
      <c r="J410" s="24">
        <f t="shared" si="54"/>
        <v>4</v>
      </c>
      <c r="K410" s="35">
        <f t="shared" si="56"/>
        <v>0.2</v>
      </c>
      <c r="L410" s="24">
        <f t="shared" si="57"/>
        <v>8.0000000000000016E-2</v>
      </c>
      <c r="M410" s="41"/>
    </row>
    <row r="411" spans="1:13" s="34" customFormat="1" ht="15.75" customHeight="1" x14ac:dyDescent="0.3">
      <c r="A411" s="24" t="str">
        <f t="shared" si="55"/>
        <v>L047S004</v>
      </c>
      <c r="B411" s="32" t="s">
        <v>93</v>
      </c>
      <c r="C411" s="33" t="s">
        <v>47</v>
      </c>
      <c r="D411" s="33" t="s">
        <v>26</v>
      </c>
      <c r="E411" s="24" t="str">
        <f t="shared" si="58"/>
        <v>Foundations of ML</v>
      </c>
      <c r="F411" s="24" t="str">
        <f t="shared" si="58"/>
        <v>IN_4</v>
      </c>
      <c r="G411" s="24" t="str">
        <f t="shared" si="58"/>
        <v>Workshop</v>
      </c>
      <c r="H411" s="24" t="str">
        <f t="shared" si="53"/>
        <v>Online</v>
      </c>
      <c r="I411" s="24">
        <v>20</v>
      </c>
      <c r="J411" s="24">
        <f t="shared" si="54"/>
        <v>20</v>
      </c>
      <c r="K411" s="35">
        <f t="shared" si="56"/>
        <v>1</v>
      </c>
      <c r="L411" s="24">
        <f t="shared" si="57"/>
        <v>0.2</v>
      </c>
      <c r="M411" s="41"/>
    </row>
    <row r="412" spans="1:13" s="34" customFormat="1" ht="15.75" customHeight="1" x14ac:dyDescent="0.3">
      <c r="A412" s="24" t="str">
        <f t="shared" si="55"/>
        <v>L047S005</v>
      </c>
      <c r="B412" s="32" t="s">
        <v>93</v>
      </c>
      <c r="C412" s="33" t="s">
        <v>36</v>
      </c>
      <c r="D412" s="33" t="s">
        <v>26</v>
      </c>
      <c r="E412" s="24" t="str">
        <f t="shared" si="58"/>
        <v>Algebra Basics</v>
      </c>
      <c r="F412" s="24" t="str">
        <f t="shared" si="58"/>
        <v>IN_4</v>
      </c>
      <c r="G412" s="24" t="str">
        <f t="shared" si="58"/>
        <v>Workshop</v>
      </c>
      <c r="H412" s="24" t="str">
        <f t="shared" si="53"/>
        <v>Online</v>
      </c>
      <c r="I412" s="24">
        <v>0</v>
      </c>
      <c r="J412" s="24">
        <f t="shared" si="54"/>
        <v>0</v>
      </c>
      <c r="K412" s="35">
        <f t="shared" si="56"/>
        <v>0</v>
      </c>
      <c r="L412" s="24">
        <f t="shared" si="57"/>
        <v>0</v>
      </c>
      <c r="M412" s="41"/>
    </row>
    <row r="413" spans="1:13" s="34" customFormat="1" ht="15.75" customHeight="1" x14ac:dyDescent="0.3">
      <c r="A413" s="24" t="str">
        <f t="shared" si="55"/>
        <v>L047S016</v>
      </c>
      <c r="B413" s="32" t="s">
        <v>93</v>
      </c>
      <c r="C413" s="33" t="s">
        <v>27</v>
      </c>
      <c r="D413" s="33" t="s">
        <v>26</v>
      </c>
      <c r="E413" s="24" t="str">
        <f t="shared" si="58"/>
        <v>Algebra Basics</v>
      </c>
      <c r="F413" s="24" t="str">
        <f t="shared" si="58"/>
        <v>IN_2</v>
      </c>
      <c r="G413" s="24" t="str">
        <f t="shared" si="58"/>
        <v>Workshop</v>
      </c>
      <c r="H413" s="24" t="str">
        <f t="shared" si="53"/>
        <v>Offline</v>
      </c>
      <c r="I413" s="24">
        <v>11</v>
      </c>
      <c r="J413" s="24">
        <f t="shared" si="54"/>
        <v>11</v>
      </c>
      <c r="K413" s="35">
        <f t="shared" si="56"/>
        <v>0.55000000000000004</v>
      </c>
      <c r="L413" s="24">
        <f t="shared" si="57"/>
        <v>0.11000000000000001</v>
      </c>
      <c r="M413" s="41"/>
    </row>
    <row r="414" spans="1:13" s="34" customFormat="1" ht="15.75" customHeight="1" x14ac:dyDescent="0.3">
      <c r="A414" s="24" t="str">
        <f t="shared" si="55"/>
        <v>L047S009</v>
      </c>
      <c r="B414" s="32" t="s">
        <v>93</v>
      </c>
      <c r="C414" s="33" t="s">
        <v>45</v>
      </c>
      <c r="D414" s="33" t="s">
        <v>26</v>
      </c>
      <c r="E414" s="24" t="str">
        <f t="shared" si="58"/>
        <v>Communication</v>
      </c>
      <c r="F414" s="24" t="str">
        <f t="shared" si="58"/>
        <v>IN_6</v>
      </c>
      <c r="G414" s="24" t="str">
        <f t="shared" si="58"/>
        <v>Workshop</v>
      </c>
      <c r="H414" s="24" t="str">
        <f t="shared" si="53"/>
        <v>Offline</v>
      </c>
      <c r="I414" s="24">
        <v>0</v>
      </c>
      <c r="J414" s="24">
        <f t="shared" si="54"/>
        <v>0</v>
      </c>
      <c r="K414" s="35">
        <f t="shared" si="56"/>
        <v>0</v>
      </c>
      <c r="L414" s="24">
        <f t="shared" si="57"/>
        <v>0</v>
      </c>
      <c r="M414" s="41"/>
    </row>
    <row r="415" spans="1:13" s="34" customFormat="1" ht="15.75" customHeight="1" x14ac:dyDescent="0.3">
      <c r="A415" s="24" t="str">
        <f t="shared" si="55"/>
        <v>L047S011</v>
      </c>
      <c r="B415" s="32" t="s">
        <v>93</v>
      </c>
      <c r="C415" s="33" t="s">
        <v>39</v>
      </c>
      <c r="D415" s="33" t="s">
        <v>26</v>
      </c>
      <c r="E415" s="24" t="str">
        <f t="shared" si="58"/>
        <v>Algebra Basics</v>
      </c>
      <c r="F415" s="24" t="str">
        <f t="shared" si="58"/>
        <v>IN_4</v>
      </c>
      <c r="G415" s="24" t="str">
        <f t="shared" si="58"/>
        <v>Theory Session</v>
      </c>
      <c r="H415" s="24" t="str">
        <f t="shared" si="53"/>
        <v>Online</v>
      </c>
      <c r="I415" s="24">
        <v>4</v>
      </c>
      <c r="J415" s="24">
        <f t="shared" si="54"/>
        <v>4</v>
      </c>
      <c r="K415" s="35">
        <f t="shared" si="56"/>
        <v>0.2</v>
      </c>
      <c r="L415" s="24">
        <f t="shared" si="57"/>
        <v>8.0000000000000016E-2</v>
      </c>
      <c r="M415" s="41"/>
    </row>
    <row r="416" spans="1:13" s="34" customFormat="1" ht="15.75" customHeight="1" x14ac:dyDescent="0.3">
      <c r="A416" s="24" t="str">
        <f t="shared" si="55"/>
        <v>L048S012</v>
      </c>
      <c r="B416" s="32" t="s">
        <v>94</v>
      </c>
      <c r="C416" s="33" t="s">
        <v>33</v>
      </c>
      <c r="D416" s="33" t="s">
        <v>29</v>
      </c>
      <c r="E416" s="24" t="str">
        <f t="shared" si="58"/>
        <v>Foundations of ML</v>
      </c>
      <c r="F416" s="24" t="str">
        <f t="shared" si="58"/>
        <v>IN_1</v>
      </c>
      <c r="G416" s="24" t="str">
        <f t="shared" si="58"/>
        <v>Workshop</v>
      </c>
      <c r="H416" s="24" t="str">
        <f t="shared" si="53"/>
        <v>Offline</v>
      </c>
      <c r="I416" s="24">
        <v>4</v>
      </c>
      <c r="J416" s="24">
        <f t="shared" si="54"/>
        <v>-1</v>
      </c>
      <c r="K416" s="35">
        <f t="shared" si="56"/>
        <v>-0.05</v>
      </c>
      <c r="L416" s="24">
        <f t="shared" si="57"/>
        <v>-1.0000000000000002E-2</v>
      </c>
      <c r="M416" s="41"/>
    </row>
    <row r="417" spans="1:13" s="34" customFormat="1" ht="15.75" customHeight="1" x14ac:dyDescent="0.3">
      <c r="A417" s="24" t="str">
        <f t="shared" si="55"/>
        <v>L048S009</v>
      </c>
      <c r="B417" s="32" t="s">
        <v>94</v>
      </c>
      <c r="C417" s="33" t="s">
        <v>45</v>
      </c>
      <c r="D417" s="33" t="s">
        <v>26</v>
      </c>
      <c r="E417" s="24" t="str">
        <f t="shared" si="58"/>
        <v>Communication</v>
      </c>
      <c r="F417" s="24" t="str">
        <f t="shared" si="58"/>
        <v>IN_6</v>
      </c>
      <c r="G417" s="24" t="str">
        <f t="shared" si="58"/>
        <v>Workshop</v>
      </c>
      <c r="H417" s="24" t="str">
        <f t="shared" si="53"/>
        <v>Offline</v>
      </c>
      <c r="I417" s="24">
        <v>0</v>
      </c>
      <c r="J417" s="24">
        <f t="shared" si="54"/>
        <v>0</v>
      </c>
      <c r="K417" s="35">
        <f t="shared" si="56"/>
        <v>0</v>
      </c>
      <c r="L417" s="24">
        <f t="shared" si="57"/>
        <v>0</v>
      </c>
      <c r="M417" s="41"/>
    </row>
    <row r="418" spans="1:13" s="34" customFormat="1" ht="15.75" customHeight="1" x14ac:dyDescent="0.3">
      <c r="A418" s="24" t="str">
        <f t="shared" si="55"/>
        <v>L048S003</v>
      </c>
      <c r="B418" s="32" t="s">
        <v>94</v>
      </c>
      <c r="C418" s="33" t="s">
        <v>50</v>
      </c>
      <c r="D418" s="33" t="s">
        <v>26</v>
      </c>
      <c r="E418" s="24" t="str">
        <f t="shared" si="58"/>
        <v>Algebra Basics</v>
      </c>
      <c r="F418" s="24" t="str">
        <f t="shared" si="58"/>
        <v>IN_7</v>
      </c>
      <c r="G418" s="24" t="str">
        <f t="shared" si="58"/>
        <v>Workshop</v>
      </c>
      <c r="H418" s="24" t="str">
        <f t="shared" si="53"/>
        <v>Offline</v>
      </c>
      <c r="I418" s="24">
        <v>0</v>
      </c>
      <c r="J418" s="24">
        <f t="shared" si="54"/>
        <v>0</v>
      </c>
      <c r="K418" s="35">
        <f t="shared" si="56"/>
        <v>0</v>
      </c>
      <c r="L418" s="24">
        <f t="shared" si="57"/>
        <v>0</v>
      </c>
      <c r="M418" s="41"/>
    </row>
    <row r="419" spans="1:13" s="34" customFormat="1" ht="15.75" customHeight="1" x14ac:dyDescent="0.3">
      <c r="A419" s="24" t="str">
        <f t="shared" si="55"/>
        <v>L048S017</v>
      </c>
      <c r="B419" s="32" t="s">
        <v>94</v>
      </c>
      <c r="C419" s="33" t="s">
        <v>28</v>
      </c>
      <c r="D419" s="33" t="s">
        <v>26</v>
      </c>
      <c r="E419" s="24" t="str">
        <f t="shared" si="58"/>
        <v>Communication</v>
      </c>
      <c r="F419" s="24" t="str">
        <f t="shared" si="58"/>
        <v>IN_7</v>
      </c>
      <c r="G419" s="24" t="str">
        <f t="shared" si="58"/>
        <v>Practical</v>
      </c>
      <c r="H419" s="24" t="str">
        <f t="shared" si="53"/>
        <v>Offline</v>
      </c>
      <c r="I419" s="24">
        <v>5</v>
      </c>
      <c r="J419" s="24">
        <f t="shared" si="54"/>
        <v>5</v>
      </c>
      <c r="K419" s="35">
        <f t="shared" si="56"/>
        <v>0.25</v>
      </c>
      <c r="L419" s="24">
        <f t="shared" si="57"/>
        <v>0.1</v>
      </c>
      <c r="M419" s="41"/>
    </row>
    <row r="420" spans="1:13" s="34" customFormat="1" ht="15.75" customHeight="1" x14ac:dyDescent="0.3">
      <c r="A420" s="24" t="str">
        <f t="shared" si="55"/>
        <v>L048S013</v>
      </c>
      <c r="B420" s="32" t="s">
        <v>94</v>
      </c>
      <c r="C420" s="33" t="s">
        <v>44</v>
      </c>
      <c r="D420" s="33" t="s">
        <v>37</v>
      </c>
      <c r="E420" s="24" t="str">
        <f t="shared" si="58"/>
        <v>Algebra Basics</v>
      </c>
      <c r="F420" s="24" t="str">
        <f t="shared" si="58"/>
        <v>IN_3</v>
      </c>
      <c r="G420" s="24" t="str">
        <f t="shared" si="58"/>
        <v>Workshop</v>
      </c>
      <c r="H420" s="24" t="str">
        <f t="shared" si="53"/>
        <v>Offline</v>
      </c>
      <c r="I420" s="24">
        <v>0</v>
      </c>
      <c r="J420" s="24">
        <f t="shared" si="54"/>
        <v>0</v>
      </c>
      <c r="K420" s="35">
        <f t="shared" si="56"/>
        <v>0</v>
      </c>
      <c r="L420" s="24">
        <f t="shared" si="57"/>
        <v>0</v>
      </c>
      <c r="M420" s="41"/>
    </row>
    <row r="421" spans="1:13" s="34" customFormat="1" ht="15.75" customHeight="1" x14ac:dyDescent="0.3">
      <c r="A421" s="24" t="str">
        <f t="shared" si="55"/>
        <v>L048S016</v>
      </c>
      <c r="B421" s="32" t="s">
        <v>94</v>
      </c>
      <c r="C421" s="33" t="s">
        <v>27</v>
      </c>
      <c r="D421" s="33" t="s">
        <v>26</v>
      </c>
      <c r="E421" s="24" t="str">
        <f t="shared" si="58"/>
        <v>Algebra Basics</v>
      </c>
      <c r="F421" s="24" t="str">
        <f t="shared" si="58"/>
        <v>IN_2</v>
      </c>
      <c r="G421" s="24" t="str">
        <f t="shared" si="58"/>
        <v>Workshop</v>
      </c>
      <c r="H421" s="24" t="str">
        <f t="shared" si="53"/>
        <v>Offline</v>
      </c>
      <c r="I421" s="24">
        <v>0</v>
      </c>
      <c r="J421" s="24">
        <f t="shared" si="54"/>
        <v>0</v>
      </c>
      <c r="K421" s="35">
        <f t="shared" si="56"/>
        <v>0</v>
      </c>
      <c r="L421" s="24">
        <f t="shared" si="57"/>
        <v>0</v>
      </c>
      <c r="M421" s="41"/>
    </row>
    <row r="422" spans="1:13" s="34" customFormat="1" ht="15.75" customHeight="1" x14ac:dyDescent="0.3">
      <c r="A422" s="24" t="str">
        <f t="shared" si="55"/>
        <v>L048S004</v>
      </c>
      <c r="B422" s="32" t="s">
        <v>94</v>
      </c>
      <c r="C422" s="33" t="s">
        <v>47</v>
      </c>
      <c r="D422" s="33" t="s">
        <v>26</v>
      </c>
      <c r="E422" s="24" t="str">
        <f t="shared" si="58"/>
        <v>Foundations of ML</v>
      </c>
      <c r="F422" s="24" t="str">
        <f t="shared" si="58"/>
        <v>IN_4</v>
      </c>
      <c r="G422" s="24" t="str">
        <f t="shared" si="58"/>
        <v>Workshop</v>
      </c>
      <c r="H422" s="24" t="str">
        <f t="shared" si="53"/>
        <v>Online</v>
      </c>
      <c r="I422" s="24">
        <v>0</v>
      </c>
      <c r="J422" s="24">
        <f t="shared" si="54"/>
        <v>0</v>
      </c>
      <c r="K422" s="35">
        <f t="shared" si="56"/>
        <v>0</v>
      </c>
      <c r="L422" s="24">
        <f t="shared" si="57"/>
        <v>0</v>
      </c>
      <c r="M422" s="41"/>
    </row>
    <row r="423" spans="1:13" s="34" customFormat="1" ht="15.75" customHeight="1" x14ac:dyDescent="0.3">
      <c r="A423" s="24" t="str">
        <f t="shared" si="55"/>
        <v>L048S020</v>
      </c>
      <c r="B423" s="32" t="s">
        <v>94</v>
      </c>
      <c r="C423" s="33" t="s">
        <v>30</v>
      </c>
      <c r="D423" s="33" t="s">
        <v>26</v>
      </c>
      <c r="E423" s="24" t="str">
        <f t="shared" ref="E423:G442" si="59">VLOOKUP($C423,session_details,E$1,FALSE)</f>
        <v>Foundations of ML</v>
      </c>
      <c r="F423" s="24" t="str">
        <f t="shared" si="59"/>
        <v>IN_4</v>
      </c>
      <c r="G423" s="24" t="str">
        <f t="shared" si="59"/>
        <v>Workshop</v>
      </c>
      <c r="H423" s="24" t="str">
        <f t="shared" si="53"/>
        <v>Online</v>
      </c>
      <c r="I423" s="24">
        <v>10</v>
      </c>
      <c r="J423" s="24">
        <f t="shared" si="54"/>
        <v>10</v>
      </c>
      <c r="K423" s="35">
        <f t="shared" si="56"/>
        <v>0.5</v>
      </c>
      <c r="L423" s="24">
        <f t="shared" si="57"/>
        <v>0.1</v>
      </c>
      <c r="M423" s="41"/>
    </row>
    <row r="424" spans="1:13" s="34" customFormat="1" ht="15.75" customHeight="1" x14ac:dyDescent="0.3">
      <c r="A424" s="24" t="str">
        <f t="shared" si="55"/>
        <v>L048S010</v>
      </c>
      <c r="B424" s="32" t="s">
        <v>94</v>
      </c>
      <c r="C424" s="33" t="s">
        <v>34</v>
      </c>
      <c r="D424" s="33" t="s">
        <v>29</v>
      </c>
      <c r="E424" s="24" t="str">
        <f t="shared" si="59"/>
        <v>Foundations of ML</v>
      </c>
      <c r="F424" s="24" t="str">
        <f t="shared" si="59"/>
        <v>IN_6</v>
      </c>
      <c r="G424" s="24" t="str">
        <f t="shared" si="59"/>
        <v>Theory Session</v>
      </c>
      <c r="H424" s="24" t="str">
        <f t="shared" si="53"/>
        <v>Offline</v>
      </c>
      <c r="I424" s="24">
        <v>5</v>
      </c>
      <c r="J424" s="24">
        <f t="shared" si="54"/>
        <v>0</v>
      </c>
      <c r="K424" s="35">
        <f t="shared" si="56"/>
        <v>0</v>
      </c>
      <c r="L424" s="24">
        <f t="shared" si="57"/>
        <v>0</v>
      </c>
      <c r="M424" s="41"/>
    </row>
    <row r="425" spans="1:13" s="34" customFormat="1" ht="15.75" customHeight="1" x14ac:dyDescent="0.3">
      <c r="A425" s="24" t="str">
        <f t="shared" si="55"/>
        <v>L048S001</v>
      </c>
      <c r="B425" s="32" t="s">
        <v>94</v>
      </c>
      <c r="C425" s="33" t="s">
        <v>43</v>
      </c>
      <c r="D425" s="33" t="s">
        <v>29</v>
      </c>
      <c r="E425" s="24" t="str">
        <f t="shared" si="59"/>
        <v>CS Fundamentals</v>
      </c>
      <c r="F425" s="24" t="str">
        <f t="shared" si="59"/>
        <v>IN_2</v>
      </c>
      <c r="G425" s="24" t="str">
        <f t="shared" si="59"/>
        <v>Theory Session</v>
      </c>
      <c r="H425" s="24" t="str">
        <f t="shared" si="53"/>
        <v>Online</v>
      </c>
      <c r="I425" s="24">
        <v>0</v>
      </c>
      <c r="J425" s="24">
        <f t="shared" si="54"/>
        <v>0</v>
      </c>
      <c r="K425" s="35">
        <f t="shared" si="56"/>
        <v>0</v>
      </c>
      <c r="L425" s="24">
        <f t="shared" si="57"/>
        <v>0</v>
      </c>
      <c r="M425" s="41"/>
    </row>
    <row r="426" spans="1:13" s="34" customFormat="1" ht="15.75" customHeight="1" x14ac:dyDescent="0.3">
      <c r="A426" s="24" t="str">
        <f t="shared" si="55"/>
        <v>L048S006</v>
      </c>
      <c r="B426" s="32" t="s">
        <v>94</v>
      </c>
      <c r="C426" s="33" t="s">
        <v>40</v>
      </c>
      <c r="D426" s="33" t="s">
        <v>29</v>
      </c>
      <c r="E426" s="24" t="str">
        <f t="shared" si="59"/>
        <v>Communication</v>
      </c>
      <c r="F426" s="24" t="str">
        <f t="shared" si="59"/>
        <v>IN_6</v>
      </c>
      <c r="G426" s="24" t="str">
        <f t="shared" si="59"/>
        <v>Theory Session</v>
      </c>
      <c r="H426" s="24" t="str">
        <f t="shared" si="53"/>
        <v>Online</v>
      </c>
      <c r="I426" s="24">
        <v>0</v>
      </c>
      <c r="J426" s="24">
        <f t="shared" si="54"/>
        <v>0</v>
      </c>
      <c r="K426" s="35">
        <f t="shared" si="56"/>
        <v>0</v>
      </c>
      <c r="L426" s="24">
        <f t="shared" si="57"/>
        <v>0</v>
      </c>
      <c r="M426" s="41"/>
    </row>
    <row r="427" spans="1:13" s="34" customFormat="1" ht="15.75" customHeight="1" x14ac:dyDescent="0.3">
      <c r="A427" s="24" t="str">
        <f t="shared" si="55"/>
        <v>L048S015</v>
      </c>
      <c r="B427" s="32" t="s">
        <v>94</v>
      </c>
      <c r="C427" s="33" t="s">
        <v>41</v>
      </c>
      <c r="D427" s="33" t="s">
        <v>26</v>
      </c>
      <c r="E427" s="24" t="str">
        <f t="shared" si="59"/>
        <v>Foundations of ML</v>
      </c>
      <c r="F427" s="24" t="str">
        <f t="shared" si="59"/>
        <v>IN_4</v>
      </c>
      <c r="G427" s="24" t="str">
        <f t="shared" si="59"/>
        <v>Practical</v>
      </c>
      <c r="H427" s="24" t="str">
        <f t="shared" si="53"/>
        <v>Offline</v>
      </c>
      <c r="I427" s="24">
        <v>0</v>
      </c>
      <c r="J427" s="24">
        <f t="shared" si="54"/>
        <v>0</v>
      </c>
      <c r="K427" s="35">
        <f t="shared" si="56"/>
        <v>0</v>
      </c>
      <c r="L427" s="24">
        <f t="shared" si="57"/>
        <v>0</v>
      </c>
      <c r="M427" s="41"/>
    </row>
    <row r="428" spans="1:13" s="34" customFormat="1" ht="15.75" customHeight="1" x14ac:dyDescent="0.3">
      <c r="A428" s="24" t="str">
        <f t="shared" si="55"/>
        <v>L048S018</v>
      </c>
      <c r="B428" s="32" t="s">
        <v>94</v>
      </c>
      <c r="C428" s="33" t="s">
        <v>25</v>
      </c>
      <c r="D428" s="33" t="s">
        <v>26</v>
      </c>
      <c r="E428" s="24" t="str">
        <f t="shared" si="59"/>
        <v>CS Fundamentals</v>
      </c>
      <c r="F428" s="24" t="str">
        <f t="shared" si="59"/>
        <v>IN_5</v>
      </c>
      <c r="G428" s="24" t="str">
        <f t="shared" si="59"/>
        <v>Practical</v>
      </c>
      <c r="H428" s="24" t="str">
        <f t="shared" si="53"/>
        <v>Online</v>
      </c>
      <c r="I428" s="24">
        <v>15</v>
      </c>
      <c r="J428" s="24">
        <f t="shared" si="54"/>
        <v>15</v>
      </c>
      <c r="K428" s="35">
        <f t="shared" si="56"/>
        <v>0.75</v>
      </c>
      <c r="L428" s="24">
        <f t="shared" si="57"/>
        <v>0.30000000000000004</v>
      </c>
      <c r="M428" s="41"/>
    </row>
    <row r="429" spans="1:13" s="34" customFormat="1" ht="15.75" customHeight="1" x14ac:dyDescent="0.3">
      <c r="A429" s="24" t="str">
        <f t="shared" si="55"/>
        <v>L049S007</v>
      </c>
      <c r="B429" s="32" t="s">
        <v>95</v>
      </c>
      <c r="C429" s="33" t="s">
        <v>35</v>
      </c>
      <c r="D429" s="33" t="s">
        <v>29</v>
      </c>
      <c r="E429" s="24" t="str">
        <f t="shared" si="59"/>
        <v>Communication</v>
      </c>
      <c r="F429" s="24" t="str">
        <f t="shared" si="59"/>
        <v>IN_1</v>
      </c>
      <c r="G429" s="24" t="str">
        <f t="shared" si="59"/>
        <v>Practical</v>
      </c>
      <c r="H429" s="24" t="str">
        <f t="shared" si="53"/>
        <v>Offline</v>
      </c>
      <c r="I429" s="24">
        <v>0</v>
      </c>
      <c r="J429" s="24">
        <f t="shared" si="54"/>
        <v>0</v>
      </c>
      <c r="K429" s="35">
        <f t="shared" si="56"/>
        <v>0</v>
      </c>
      <c r="L429" s="24">
        <f t="shared" si="57"/>
        <v>0</v>
      </c>
      <c r="M429" s="41"/>
    </row>
    <row r="430" spans="1:13" s="34" customFormat="1" ht="15.75" customHeight="1" x14ac:dyDescent="0.3">
      <c r="A430" s="24" t="str">
        <f t="shared" si="55"/>
        <v>L049S008</v>
      </c>
      <c r="B430" s="32" t="s">
        <v>95</v>
      </c>
      <c r="C430" s="33" t="s">
        <v>32</v>
      </c>
      <c r="D430" s="33" t="s">
        <v>29</v>
      </c>
      <c r="E430" s="24" t="str">
        <f t="shared" si="59"/>
        <v>CS Fundamentals</v>
      </c>
      <c r="F430" s="24" t="str">
        <f t="shared" si="59"/>
        <v>IN_2</v>
      </c>
      <c r="G430" s="24" t="str">
        <f t="shared" si="59"/>
        <v>Practical</v>
      </c>
      <c r="H430" s="24" t="str">
        <f t="shared" si="53"/>
        <v>Online</v>
      </c>
      <c r="I430" s="24">
        <v>14</v>
      </c>
      <c r="J430" s="24">
        <f t="shared" si="54"/>
        <v>9</v>
      </c>
      <c r="K430" s="35">
        <f t="shared" si="56"/>
        <v>0.45</v>
      </c>
      <c r="L430" s="24">
        <f t="shared" si="57"/>
        <v>0.18000000000000002</v>
      </c>
      <c r="M430" s="41"/>
    </row>
    <row r="431" spans="1:13" s="34" customFormat="1" ht="15.75" customHeight="1" x14ac:dyDescent="0.3">
      <c r="A431" s="24" t="str">
        <f t="shared" si="55"/>
        <v>L049S005</v>
      </c>
      <c r="B431" s="32" t="s">
        <v>95</v>
      </c>
      <c r="C431" s="33" t="s">
        <v>36</v>
      </c>
      <c r="D431" s="33" t="s">
        <v>26</v>
      </c>
      <c r="E431" s="24" t="str">
        <f t="shared" si="59"/>
        <v>Algebra Basics</v>
      </c>
      <c r="F431" s="24" t="str">
        <f t="shared" si="59"/>
        <v>IN_4</v>
      </c>
      <c r="G431" s="24" t="str">
        <f t="shared" si="59"/>
        <v>Workshop</v>
      </c>
      <c r="H431" s="24" t="str">
        <f t="shared" si="53"/>
        <v>Online</v>
      </c>
      <c r="I431" s="24">
        <v>18</v>
      </c>
      <c r="J431" s="24">
        <f t="shared" si="54"/>
        <v>18</v>
      </c>
      <c r="K431" s="35">
        <f t="shared" si="56"/>
        <v>0.9</v>
      </c>
      <c r="L431" s="24">
        <f t="shared" si="57"/>
        <v>0.18000000000000002</v>
      </c>
      <c r="M431" s="41"/>
    </row>
    <row r="432" spans="1:13" s="34" customFormat="1" ht="15.75" customHeight="1" x14ac:dyDescent="0.3">
      <c r="A432" s="24" t="str">
        <f t="shared" si="55"/>
        <v>L049S020</v>
      </c>
      <c r="B432" s="32" t="s">
        <v>95</v>
      </c>
      <c r="C432" s="33" t="s">
        <v>30</v>
      </c>
      <c r="D432" s="33" t="s">
        <v>26</v>
      </c>
      <c r="E432" s="24" t="str">
        <f t="shared" si="59"/>
        <v>Foundations of ML</v>
      </c>
      <c r="F432" s="24" t="str">
        <f t="shared" si="59"/>
        <v>IN_4</v>
      </c>
      <c r="G432" s="24" t="str">
        <f t="shared" si="59"/>
        <v>Workshop</v>
      </c>
      <c r="H432" s="24" t="str">
        <f t="shared" si="53"/>
        <v>Online</v>
      </c>
      <c r="I432" s="24">
        <v>0</v>
      </c>
      <c r="J432" s="24">
        <f t="shared" si="54"/>
        <v>0</v>
      </c>
      <c r="K432" s="35">
        <f t="shared" si="56"/>
        <v>0</v>
      </c>
      <c r="L432" s="24">
        <f t="shared" si="57"/>
        <v>0</v>
      </c>
      <c r="M432" s="41"/>
    </row>
    <row r="433" spans="1:13" s="34" customFormat="1" ht="15.75" customHeight="1" x14ac:dyDescent="0.3">
      <c r="A433" s="24" t="str">
        <f t="shared" si="55"/>
        <v>L049S003</v>
      </c>
      <c r="B433" s="32" t="s">
        <v>95</v>
      </c>
      <c r="C433" s="33" t="s">
        <v>50</v>
      </c>
      <c r="D433" s="33" t="s">
        <v>37</v>
      </c>
      <c r="E433" s="24" t="str">
        <f t="shared" si="59"/>
        <v>Algebra Basics</v>
      </c>
      <c r="F433" s="24" t="str">
        <f t="shared" si="59"/>
        <v>IN_7</v>
      </c>
      <c r="G433" s="24" t="str">
        <f t="shared" si="59"/>
        <v>Workshop</v>
      </c>
      <c r="H433" s="24" t="str">
        <f t="shared" si="53"/>
        <v>Offline</v>
      </c>
      <c r="I433" s="24">
        <v>0</v>
      </c>
      <c r="J433" s="24">
        <f t="shared" si="54"/>
        <v>0</v>
      </c>
      <c r="K433" s="35">
        <f t="shared" si="56"/>
        <v>0</v>
      </c>
      <c r="L433" s="24">
        <f t="shared" si="57"/>
        <v>0</v>
      </c>
      <c r="M433" s="41"/>
    </row>
    <row r="434" spans="1:13" s="34" customFormat="1" ht="15.75" customHeight="1" x14ac:dyDescent="0.3">
      <c r="A434" s="24" t="str">
        <f t="shared" si="55"/>
        <v>L049S006</v>
      </c>
      <c r="B434" s="32" t="s">
        <v>95</v>
      </c>
      <c r="C434" s="33" t="s">
        <v>40</v>
      </c>
      <c r="D434" s="33" t="s">
        <v>37</v>
      </c>
      <c r="E434" s="24" t="str">
        <f t="shared" si="59"/>
        <v>Communication</v>
      </c>
      <c r="F434" s="24" t="str">
        <f t="shared" si="59"/>
        <v>IN_6</v>
      </c>
      <c r="G434" s="24" t="str">
        <f t="shared" si="59"/>
        <v>Theory Session</v>
      </c>
      <c r="H434" s="24" t="str">
        <f t="shared" si="53"/>
        <v>Online</v>
      </c>
      <c r="I434" s="24">
        <v>8</v>
      </c>
      <c r="J434" s="24">
        <f t="shared" si="54"/>
        <v>8</v>
      </c>
      <c r="K434" s="35">
        <f t="shared" si="56"/>
        <v>0.4</v>
      </c>
      <c r="L434" s="24">
        <f t="shared" si="57"/>
        <v>0.16000000000000003</v>
      </c>
      <c r="M434" s="41"/>
    </row>
    <row r="435" spans="1:13" s="34" customFormat="1" ht="15.75" customHeight="1" x14ac:dyDescent="0.3">
      <c r="A435" s="24" t="str">
        <f t="shared" si="55"/>
        <v>L049S018</v>
      </c>
      <c r="B435" s="32" t="s">
        <v>95</v>
      </c>
      <c r="C435" s="33" t="s">
        <v>25</v>
      </c>
      <c r="D435" s="33" t="s">
        <v>26</v>
      </c>
      <c r="E435" s="24" t="str">
        <f t="shared" si="59"/>
        <v>CS Fundamentals</v>
      </c>
      <c r="F435" s="24" t="str">
        <f t="shared" si="59"/>
        <v>IN_5</v>
      </c>
      <c r="G435" s="24" t="str">
        <f t="shared" si="59"/>
        <v>Practical</v>
      </c>
      <c r="H435" s="24" t="str">
        <f t="shared" si="53"/>
        <v>Online</v>
      </c>
      <c r="I435" s="24">
        <v>19</v>
      </c>
      <c r="J435" s="24">
        <f t="shared" si="54"/>
        <v>19</v>
      </c>
      <c r="K435" s="35">
        <f t="shared" si="56"/>
        <v>0.95</v>
      </c>
      <c r="L435" s="24">
        <f t="shared" si="57"/>
        <v>0.38</v>
      </c>
      <c r="M435" s="41"/>
    </row>
    <row r="436" spans="1:13" s="34" customFormat="1" ht="15.75" customHeight="1" x14ac:dyDescent="0.3">
      <c r="A436" s="24" t="str">
        <f t="shared" si="55"/>
        <v>L049S016</v>
      </c>
      <c r="B436" s="32" t="s">
        <v>95</v>
      </c>
      <c r="C436" s="33" t="s">
        <v>27</v>
      </c>
      <c r="D436" s="33" t="s">
        <v>29</v>
      </c>
      <c r="E436" s="24" t="str">
        <f t="shared" si="59"/>
        <v>Algebra Basics</v>
      </c>
      <c r="F436" s="24" t="str">
        <f t="shared" si="59"/>
        <v>IN_2</v>
      </c>
      <c r="G436" s="24" t="str">
        <f t="shared" si="59"/>
        <v>Workshop</v>
      </c>
      <c r="H436" s="24" t="str">
        <f t="shared" si="53"/>
        <v>Offline</v>
      </c>
      <c r="I436" s="24">
        <v>12</v>
      </c>
      <c r="J436" s="24">
        <f t="shared" si="54"/>
        <v>7</v>
      </c>
      <c r="K436" s="35">
        <f t="shared" si="56"/>
        <v>0.35</v>
      </c>
      <c r="L436" s="24">
        <f t="shared" si="57"/>
        <v>6.9999999999999993E-2</v>
      </c>
      <c r="M436" s="41"/>
    </row>
    <row r="437" spans="1:13" s="34" customFormat="1" ht="15.75" customHeight="1" x14ac:dyDescent="0.3">
      <c r="A437" s="24" t="str">
        <f t="shared" si="55"/>
        <v>L049S015</v>
      </c>
      <c r="B437" s="32" t="s">
        <v>95</v>
      </c>
      <c r="C437" s="33" t="s">
        <v>41</v>
      </c>
      <c r="D437" s="33" t="s">
        <v>26</v>
      </c>
      <c r="E437" s="24" t="str">
        <f t="shared" si="59"/>
        <v>Foundations of ML</v>
      </c>
      <c r="F437" s="24" t="str">
        <f t="shared" si="59"/>
        <v>IN_4</v>
      </c>
      <c r="G437" s="24" t="str">
        <f t="shared" si="59"/>
        <v>Practical</v>
      </c>
      <c r="H437" s="24" t="str">
        <f t="shared" si="53"/>
        <v>Offline</v>
      </c>
      <c r="I437" s="24">
        <v>0</v>
      </c>
      <c r="J437" s="24">
        <f t="shared" si="54"/>
        <v>0</v>
      </c>
      <c r="K437" s="35">
        <f t="shared" si="56"/>
        <v>0</v>
      </c>
      <c r="L437" s="24">
        <f t="shared" si="57"/>
        <v>0</v>
      </c>
      <c r="M437" s="41"/>
    </row>
    <row r="438" spans="1:13" s="34" customFormat="1" ht="15.75" customHeight="1" x14ac:dyDescent="0.3">
      <c r="A438" s="24" t="str">
        <f t="shared" si="55"/>
        <v>L049S002</v>
      </c>
      <c r="B438" s="32" t="s">
        <v>95</v>
      </c>
      <c r="C438" s="33" t="s">
        <v>31</v>
      </c>
      <c r="D438" s="33" t="s">
        <v>26</v>
      </c>
      <c r="E438" s="24" t="str">
        <f t="shared" si="59"/>
        <v>CS Fundamentals</v>
      </c>
      <c r="F438" s="24" t="str">
        <f t="shared" si="59"/>
        <v>IN_3</v>
      </c>
      <c r="G438" s="24" t="str">
        <f t="shared" si="59"/>
        <v>Practical</v>
      </c>
      <c r="H438" s="24" t="str">
        <f t="shared" si="53"/>
        <v>Offline</v>
      </c>
      <c r="I438" s="24">
        <v>6</v>
      </c>
      <c r="J438" s="24">
        <f t="shared" si="54"/>
        <v>6</v>
      </c>
      <c r="K438" s="35">
        <f t="shared" si="56"/>
        <v>0.3</v>
      </c>
      <c r="L438" s="24">
        <f t="shared" si="57"/>
        <v>0.12</v>
      </c>
      <c r="M438" s="41"/>
    </row>
    <row r="439" spans="1:13" s="34" customFormat="1" ht="15.75" customHeight="1" x14ac:dyDescent="0.3">
      <c r="A439" s="24" t="str">
        <f t="shared" si="55"/>
        <v>L049S001</v>
      </c>
      <c r="B439" s="32" t="s">
        <v>95</v>
      </c>
      <c r="C439" s="33" t="s">
        <v>43</v>
      </c>
      <c r="D439" s="33" t="s">
        <v>29</v>
      </c>
      <c r="E439" s="24" t="str">
        <f t="shared" si="59"/>
        <v>CS Fundamentals</v>
      </c>
      <c r="F439" s="24" t="str">
        <f t="shared" si="59"/>
        <v>IN_2</v>
      </c>
      <c r="G439" s="24" t="str">
        <f t="shared" si="59"/>
        <v>Theory Session</v>
      </c>
      <c r="H439" s="24" t="str">
        <f t="shared" si="53"/>
        <v>Online</v>
      </c>
      <c r="I439" s="24">
        <v>7</v>
      </c>
      <c r="J439" s="24">
        <f t="shared" si="54"/>
        <v>2</v>
      </c>
      <c r="K439" s="35">
        <f t="shared" si="56"/>
        <v>0.1</v>
      </c>
      <c r="L439" s="24">
        <f t="shared" si="57"/>
        <v>4.0000000000000008E-2</v>
      </c>
      <c r="M439" s="41"/>
    </row>
    <row r="440" spans="1:13" s="34" customFormat="1" ht="15.75" customHeight="1" x14ac:dyDescent="0.3">
      <c r="A440" s="24" t="str">
        <f t="shared" si="55"/>
        <v>L049S019</v>
      </c>
      <c r="B440" s="32" t="s">
        <v>95</v>
      </c>
      <c r="C440" s="33" t="s">
        <v>38</v>
      </c>
      <c r="D440" s="33" t="s">
        <v>29</v>
      </c>
      <c r="E440" s="24" t="str">
        <f t="shared" si="59"/>
        <v>CS Fundamentals</v>
      </c>
      <c r="F440" s="24" t="str">
        <f t="shared" si="59"/>
        <v>IN_6</v>
      </c>
      <c r="G440" s="24" t="str">
        <f t="shared" si="59"/>
        <v>Workshop</v>
      </c>
      <c r="H440" s="24" t="str">
        <f t="shared" si="53"/>
        <v>Offline</v>
      </c>
      <c r="I440" s="24">
        <v>0</v>
      </c>
      <c r="J440" s="24">
        <f t="shared" si="54"/>
        <v>0</v>
      </c>
      <c r="K440" s="35">
        <f t="shared" si="56"/>
        <v>0</v>
      </c>
      <c r="L440" s="24">
        <f t="shared" si="57"/>
        <v>0</v>
      </c>
      <c r="M440" s="41"/>
    </row>
    <row r="441" spans="1:13" s="34" customFormat="1" ht="15.75" customHeight="1" x14ac:dyDescent="0.3">
      <c r="A441" s="24" t="str">
        <f t="shared" si="55"/>
        <v>L049S004</v>
      </c>
      <c r="B441" s="32" t="s">
        <v>95</v>
      </c>
      <c r="C441" s="33" t="s">
        <v>47</v>
      </c>
      <c r="D441" s="33" t="s">
        <v>26</v>
      </c>
      <c r="E441" s="24" t="str">
        <f t="shared" si="59"/>
        <v>Foundations of ML</v>
      </c>
      <c r="F441" s="24" t="str">
        <f t="shared" si="59"/>
        <v>IN_4</v>
      </c>
      <c r="G441" s="24" t="str">
        <f t="shared" si="59"/>
        <v>Workshop</v>
      </c>
      <c r="H441" s="24" t="str">
        <f t="shared" si="53"/>
        <v>Online</v>
      </c>
      <c r="I441" s="24">
        <v>0</v>
      </c>
      <c r="J441" s="24">
        <f t="shared" si="54"/>
        <v>0</v>
      </c>
      <c r="K441" s="35">
        <f t="shared" si="56"/>
        <v>0</v>
      </c>
      <c r="L441" s="24">
        <f t="shared" si="57"/>
        <v>0</v>
      </c>
      <c r="M441" s="41"/>
    </row>
    <row r="442" spans="1:13" s="34" customFormat="1" ht="15.75" customHeight="1" x14ac:dyDescent="0.3">
      <c r="A442" s="24" t="str">
        <f t="shared" si="55"/>
        <v>L049S014</v>
      </c>
      <c r="B442" s="32" t="s">
        <v>95</v>
      </c>
      <c r="C442" s="33" t="s">
        <v>46</v>
      </c>
      <c r="D442" s="33" t="s">
        <v>26</v>
      </c>
      <c r="E442" s="24" t="str">
        <f t="shared" si="59"/>
        <v>Foundations of ML</v>
      </c>
      <c r="F442" s="24" t="str">
        <f t="shared" si="59"/>
        <v>IN_2</v>
      </c>
      <c r="G442" s="24" t="str">
        <f t="shared" si="59"/>
        <v>Theory Session</v>
      </c>
      <c r="H442" s="24" t="str">
        <f t="shared" si="53"/>
        <v>Online</v>
      </c>
      <c r="I442" s="24">
        <v>0</v>
      </c>
      <c r="J442" s="24">
        <f t="shared" si="54"/>
        <v>0</v>
      </c>
      <c r="K442" s="35">
        <f t="shared" si="56"/>
        <v>0</v>
      </c>
      <c r="L442" s="24">
        <f t="shared" si="57"/>
        <v>0</v>
      </c>
      <c r="M442" s="41"/>
    </row>
    <row r="443" spans="1:13" s="34" customFormat="1" ht="15.75" customHeight="1" x14ac:dyDescent="0.3">
      <c r="A443" s="24" t="str">
        <f t="shared" si="55"/>
        <v>L050S019</v>
      </c>
      <c r="B443" s="32" t="s">
        <v>96</v>
      </c>
      <c r="C443" s="33" t="s">
        <v>38</v>
      </c>
      <c r="D443" s="33" t="s">
        <v>26</v>
      </c>
      <c r="E443" s="24" t="str">
        <f t="shared" ref="E443:G450" si="60">VLOOKUP($C443,session_details,E$1,FALSE)</f>
        <v>CS Fundamentals</v>
      </c>
      <c r="F443" s="24" t="str">
        <f t="shared" si="60"/>
        <v>IN_6</v>
      </c>
      <c r="G443" s="24" t="str">
        <f t="shared" si="60"/>
        <v>Workshop</v>
      </c>
      <c r="H443" s="24" t="str">
        <f t="shared" si="53"/>
        <v>Offline</v>
      </c>
      <c r="I443" s="24">
        <v>20</v>
      </c>
      <c r="J443" s="24">
        <f t="shared" si="54"/>
        <v>20</v>
      </c>
      <c r="K443" s="35">
        <f t="shared" si="56"/>
        <v>1</v>
      </c>
      <c r="L443" s="24">
        <f t="shared" si="57"/>
        <v>0.2</v>
      </c>
      <c r="M443" s="41"/>
    </row>
    <row r="444" spans="1:13" s="34" customFormat="1" ht="15.75" customHeight="1" x14ac:dyDescent="0.3">
      <c r="A444" s="24" t="str">
        <f t="shared" si="55"/>
        <v>L050S013</v>
      </c>
      <c r="B444" s="32" t="s">
        <v>96</v>
      </c>
      <c r="C444" s="33" t="s">
        <v>44</v>
      </c>
      <c r="D444" s="33" t="s">
        <v>26</v>
      </c>
      <c r="E444" s="24" t="str">
        <f t="shared" si="60"/>
        <v>Algebra Basics</v>
      </c>
      <c r="F444" s="24" t="str">
        <f t="shared" si="60"/>
        <v>IN_3</v>
      </c>
      <c r="G444" s="24" t="str">
        <f t="shared" si="60"/>
        <v>Workshop</v>
      </c>
      <c r="H444" s="24" t="str">
        <f t="shared" si="53"/>
        <v>Offline</v>
      </c>
      <c r="I444" s="24">
        <v>0</v>
      </c>
      <c r="J444" s="24">
        <f t="shared" si="54"/>
        <v>0</v>
      </c>
      <c r="K444" s="35">
        <f t="shared" si="56"/>
        <v>0</v>
      </c>
      <c r="L444" s="24">
        <f t="shared" si="57"/>
        <v>0</v>
      </c>
      <c r="M444" s="41"/>
    </row>
    <row r="445" spans="1:13" s="34" customFormat="1" ht="15.75" customHeight="1" x14ac:dyDescent="0.3">
      <c r="A445" s="24" t="str">
        <f t="shared" si="55"/>
        <v>L050S020</v>
      </c>
      <c r="B445" s="32" t="s">
        <v>96</v>
      </c>
      <c r="C445" s="33" t="s">
        <v>30</v>
      </c>
      <c r="D445" s="33" t="s">
        <v>26</v>
      </c>
      <c r="E445" s="24" t="str">
        <f t="shared" si="60"/>
        <v>Foundations of ML</v>
      </c>
      <c r="F445" s="24" t="str">
        <f t="shared" si="60"/>
        <v>IN_4</v>
      </c>
      <c r="G445" s="24" t="str">
        <f t="shared" si="60"/>
        <v>Workshop</v>
      </c>
      <c r="H445" s="24" t="str">
        <f t="shared" si="53"/>
        <v>Online</v>
      </c>
      <c r="I445" s="24">
        <v>0</v>
      </c>
      <c r="J445" s="24">
        <f t="shared" si="54"/>
        <v>0</v>
      </c>
      <c r="K445" s="35">
        <f t="shared" si="56"/>
        <v>0</v>
      </c>
      <c r="L445" s="24">
        <f t="shared" si="57"/>
        <v>0</v>
      </c>
      <c r="M445" s="41"/>
    </row>
    <row r="446" spans="1:13" s="34" customFormat="1" ht="15.75" customHeight="1" x14ac:dyDescent="0.3">
      <c r="A446" s="24" t="str">
        <f t="shared" si="55"/>
        <v>L050S006</v>
      </c>
      <c r="B446" s="32" t="s">
        <v>96</v>
      </c>
      <c r="C446" s="33" t="s">
        <v>40</v>
      </c>
      <c r="D446" s="33" t="s">
        <v>26</v>
      </c>
      <c r="E446" s="24" t="str">
        <f t="shared" si="60"/>
        <v>Communication</v>
      </c>
      <c r="F446" s="24" t="str">
        <f t="shared" si="60"/>
        <v>IN_6</v>
      </c>
      <c r="G446" s="24" t="str">
        <f t="shared" si="60"/>
        <v>Theory Session</v>
      </c>
      <c r="H446" s="24" t="str">
        <f t="shared" si="53"/>
        <v>Online</v>
      </c>
      <c r="I446" s="24">
        <v>4</v>
      </c>
      <c r="J446" s="24">
        <f t="shared" si="54"/>
        <v>4</v>
      </c>
      <c r="K446" s="35">
        <f t="shared" si="56"/>
        <v>0.2</v>
      </c>
      <c r="L446" s="24">
        <f t="shared" si="57"/>
        <v>8.0000000000000016E-2</v>
      </c>
      <c r="M446" s="41"/>
    </row>
    <row r="447" spans="1:13" s="34" customFormat="1" ht="15.75" customHeight="1" x14ac:dyDescent="0.3">
      <c r="A447" s="24" t="str">
        <f t="shared" si="55"/>
        <v>L050S001</v>
      </c>
      <c r="B447" s="32" t="s">
        <v>96</v>
      </c>
      <c r="C447" s="33" t="s">
        <v>43</v>
      </c>
      <c r="D447" s="33" t="s">
        <v>26</v>
      </c>
      <c r="E447" s="24" t="str">
        <f t="shared" si="60"/>
        <v>CS Fundamentals</v>
      </c>
      <c r="F447" s="24" t="str">
        <f t="shared" si="60"/>
        <v>IN_2</v>
      </c>
      <c r="G447" s="24" t="str">
        <f t="shared" si="60"/>
        <v>Theory Session</v>
      </c>
      <c r="H447" s="24" t="str">
        <f t="shared" si="53"/>
        <v>Online</v>
      </c>
      <c r="I447" s="24">
        <v>20</v>
      </c>
      <c r="J447" s="24">
        <f t="shared" si="54"/>
        <v>20</v>
      </c>
      <c r="K447" s="35">
        <f t="shared" si="56"/>
        <v>1</v>
      </c>
      <c r="L447" s="24">
        <f t="shared" si="57"/>
        <v>0.4</v>
      </c>
      <c r="M447" s="41"/>
    </row>
    <row r="448" spans="1:13" s="34" customFormat="1" ht="15.75" customHeight="1" x14ac:dyDescent="0.3">
      <c r="A448" s="24" t="str">
        <f t="shared" si="55"/>
        <v>L050S014</v>
      </c>
      <c r="B448" s="32" t="s">
        <v>96</v>
      </c>
      <c r="C448" s="33" t="s">
        <v>46</v>
      </c>
      <c r="D448" s="33" t="s">
        <v>26</v>
      </c>
      <c r="E448" s="24" t="str">
        <f t="shared" si="60"/>
        <v>Foundations of ML</v>
      </c>
      <c r="F448" s="24" t="str">
        <f t="shared" si="60"/>
        <v>IN_2</v>
      </c>
      <c r="G448" s="24" t="str">
        <f t="shared" si="60"/>
        <v>Theory Session</v>
      </c>
      <c r="H448" s="24" t="str">
        <f t="shared" si="53"/>
        <v>Online</v>
      </c>
      <c r="I448" s="24">
        <v>19</v>
      </c>
      <c r="J448" s="24">
        <f t="shared" si="54"/>
        <v>19</v>
      </c>
      <c r="K448" s="35">
        <f t="shared" si="56"/>
        <v>0.95</v>
      </c>
      <c r="L448" s="24">
        <f t="shared" si="57"/>
        <v>0.38</v>
      </c>
      <c r="M448" s="41"/>
    </row>
    <row r="449" spans="1:13" s="34" customFormat="1" ht="15.75" customHeight="1" x14ac:dyDescent="0.3">
      <c r="A449" s="24" t="str">
        <f t="shared" si="55"/>
        <v>L050S012</v>
      </c>
      <c r="B449" s="32" t="s">
        <v>96</v>
      </c>
      <c r="C449" s="33" t="s">
        <v>33</v>
      </c>
      <c r="D449" s="33" t="s">
        <v>26</v>
      </c>
      <c r="E449" s="24" t="str">
        <f t="shared" si="60"/>
        <v>Foundations of ML</v>
      </c>
      <c r="F449" s="24" t="str">
        <f t="shared" si="60"/>
        <v>IN_1</v>
      </c>
      <c r="G449" s="24" t="str">
        <f t="shared" si="60"/>
        <v>Workshop</v>
      </c>
      <c r="H449" s="24" t="str">
        <f t="shared" si="53"/>
        <v>Offline</v>
      </c>
      <c r="I449" s="24">
        <v>0</v>
      </c>
      <c r="J449" s="24">
        <f t="shared" si="54"/>
        <v>0</v>
      </c>
      <c r="K449" s="35">
        <f t="shared" si="56"/>
        <v>0</v>
      </c>
      <c r="L449" s="24">
        <f t="shared" si="57"/>
        <v>0</v>
      </c>
      <c r="M449" s="41"/>
    </row>
    <row r="450" spans="1:13" s="34" customFormat="1" ht="15.75" customHeight="1" x14ac:dyDescent="0.3">
      <c r="A450" s="24" t="str">
        <f t="shared" si="55"/>
        <v>L050S015</v>
      </c>
      <c r="B450" s="32" t="s">
        <v>96</v>
      </c>
      <c r="C450" s="33" t="s">
        <v>41</v>
      </c>
      <c r="D450" s="33" t="s">
        <v>26</v>
      </c>
      <c r="E450" s="24" t="str">
        <f t="shared" si="60"/>
        <v>Foundations of ML</v>
      </c>
      <c r="F450" s="24" t="str">
        <f t="shared" si="60"/>
        <v>IN_4</v>
      </c>
      <c r="G450" s="24" t="str">
        <f t="shared" si="60"/>
        <v>Practical</v>
      </c>
      <c r="H450" s="24" t="str">
        <f t="shared" si="53"/>
        <v>Offline</v>
      </c>
      <c r="I450" s="24">
        <v>0</v>
      </c>
      <c r="J450" s="24">
        <f t="shared" si="54"/>
        <v>0</v>
      </c>
      <c r="K450" s="35">
        <f t="shared" si="56"/>
        <v>0</v>
      </c>
      <c r="L450" s="24">
        <f t="shared" si="57"/>
        <v>0</v>
      </c>
      <c r="M450" s="41"/>
    </row>
  </sheetData>
  <phoneticPr fontId="9" type="noConversion"/>
  <conditionalFormatting sqref="A3:A450">
    <cfRule type="duplicateValues" dxfId="1" priority="1"/>
    <cfRule type="duplicateValues" dxfId="0" priority="2"/>
  </conditionalFormatting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0B58-B78D-4BC3-9FF7-FCDFE1117FD4}">
  <dimension ref="A2:AE161"/>
  <sheetViews>
    <sheetView showGridLines="0" tabSelected="1" topLeftCell="A5" zoomScale="78" zoomScaleNormal="78" workbookViewId="0">
      <selection activeCell="J119" sqref="J119"/>
    </sheetView>
  </sheetViews>
  <sheetFormatPr defaultRowHeight="13.2" x14ac:dyDescent="0.25"/>
  <cols>
    <col min="1" max="1" width="16" customWidth="1"/>
    <col min="2" max="2" width="18.44140625" customWidth="1"/>
    <col min="3" max="3" width="31.44140625" bestFit="1" customWidth="1"/>
    <col min="4" max="4" width="21.44140625" bestFit="1" customWidth="1"/>
    <col min="5" max="5" width="6.21875" bestFit="1" customWidth="1"/>
    <col min="6" max="6" width="9.6640625" bestFit="1" customWidth="1"/>
    <col min="7" max="8" width="14.21875" bestFit="1" customWidth="1"/>
    <col min="9" max="9" width="19.109375" customWidth="1"/>
    <col min="15" max="15" width="8.88671875" customWidth="1"/>
    <col min="16" max="16" width="31.44140625" customWidth="1"/>
    <col min="17" max="17" width="18.21875" bestFit="1" customWidth="1"/>
    <col min="18" max="18" width="36.109375" bestFit="1" customWidth="1"/>
    <col min="19" max="19" width="6.21875" bestFit="1" customWidth="1"/>
    <col min="20" max="20" width="9.6640625" bestFit="1" customWidth="1"/>
    <col min="21" max="21" width="14.21875" bestFit="1" customWidth="1"/>
    <col min="22" max="26" width="3.33203125" bestFit="1" customWidth="1"/>
    <col min="27" max="27" width="18.21875" bestFit="1" customWidth="1"/>
    <col min="28" max="28" width="36.109375" bestFit="1" customWidth="1"/>
    <col min="29" max="29" width="6.21875" bestFit="1" customWidth="1"/>
    <col min="30" max="30" width="9.6640625" bestFit="1" customWidth="1"/>
    <col min="31" max="31" width="14.21875" bestFit="1" customWidth="1"/>
    <col min="32" max="32" width="4.6640625" bestFit="1" customWidth="1"/>
    <col min="33" max="33" width="15.5546875" bestFit="1" customWidth="1"/>
    <col min="34" max="34" width="7.33203125" bestFit="1" customWidth="1"/>
    <col min="35" max="39" width="3.33203125" bestFit="1" customWidth="1"/>
    <col min="40" max="47" width="4.6640625" bestFit="1" customWidth="1"/>
    <col min="48" max="48" width="12.33203125" bestFit="1" customWidth="1"/>
    <col min="49" max="49" width="10.77734375" bestFit="1" customWidth="1"/>
    <col min="50" max="55" width="3.33203125" bestFit="1" customWidth="1"/>
    <col min="56" max="66" width="4.6640625" bestFit="1" customWidth="1"/>
    <col min="67" max="67" width="16" bestFit="1" customWidth="1"/>
    <col min="68" max="68" width="14.21875" bestFit="1" customWidth="1"/>
  </cols>
  <sheetData>
    <row r="2" spans="1:24" x14ac:dyDescent="0.25">
      <c r="A2" s="62"/>
      <c r="B2" s="63"/>
      <c r="C2" s="63"/>
      <c r="D2" s="63"/>
      <c r="E2" s="63"/>
      <c r="F2" s="63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56"/>
      <c r="W2" s="56"/>
      <c r="X2" s="56"/>
    </row>
    <row r="3" spans="1:24" x14ac:dyDescent="0.25">
      <c r="A3" s="62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5"/>
      <c r="O3" s="65"/>
      <c r="P3" s="65"/>
      <c r="Q3" s="65"/>
      <c r="R3" s="65"/>
      <c r="S3" s="65"/>
      <c r="T3" s="64"/>
      <c r="U3" s="64"/>
      <c r="V3" s="56"/>
      <c r="W3" s="56"/>
      <c r="X3" s="56"/>
    </row>
    <row r="4" spans="1:24" ht="52.8" customHeight="1" x14ac:dyDescent="0.25">
      <c r="A4" s="66"/>
      <c r="B4" s="65"/>
      <c r="C4" s="67" t="s">
        <v>613</v>
      </c>
      <c r="D4" s="68"/>
      <c r="E4" s="68"/>
      <c r="F4" s="68"/>
      <c r="G4" s="68"/>
      <c r="H4" s="69"/>
      <c r="I4" s="69"/>
      <c r="J4" s="70"/>
      <c r="K4" s="64"/>
      <c r="L4" s="64"/>
      <c r="M4" s="64"/>
      <c r="N4" s="65"/>
      <c r="O4" s="65"/>
      <c r="P4" s="65"/>
      <c r="Q4" s="65"/>
      <c r="R4" s="65"/>
      <c r="S4" s="65"/>
      <c r="T4" s="64"/>
      <c r="U4" s="64"/>
      <c r="V4" s="56"/>
      <c r="W4" s="56"/>
      <c r="X4" s="56"/>
    </row>
    <row r="5" spans="1:24" x14ac:dyDescent="0.25">
      <c r="A5" s="71"/>
      <c r="B5" s="64"/>
      <c r="C5" s="72" t="s">
        <v>619</v>
      </c>
      <c r="D5" s="73" t="s">
        <v>29</v>
      </c>
      <c r="E5" s="73" t="s">
        <v>37</v>
      </c>
      <c r="F5" s="73" t="s">
        <v>26</v>
      </c>
      <c r="G5" s="73" t="s">
        <v>602</v>
      </c>
      <c r="H5" s="74" t="s">
        <v>618</v>
      </c>
      <c r="I5" s="74" t="s">
        <v>620</v>
      </c>
      <c r="J5" s="75"/>
      <c r="K5" s="64"/>
      <c r="L5" s="64"/>
      <c r="M5" s="64"/>
      <c r="N5" s="65"/>
      <c r="O5" s="65"/>
      <c r="P5" s="65"/>
      <c r="Q5" s="65"/>
      <c r="R5" s="65"/>
      <c r="S5" s="65"/>
      <c r="T5" s="64"/>
      <c r="U5" s="64"/>
      <c r="V5" s="56"/>
      <c r="W5" s="56"/>
      <c r="X5" s="56"/>
    </row>
    <row r="6" spans="1:24" ht="14.4" customHeight="1" x14ac:dyDescent="0.25">
      <c r="A6" s="76"/>
      <c r="B6" s="64"/>
      <c r="C6" s="77" t="s">
        <v>105</v>
      </c>
      <c r="D6" s="78">
        <v>22</v>
      </c>
      <c r="E6" s="78">
        <v>16</v>
      </c>
      <c r="F6" s="78">
        <v>74</v>
      </c>
      <c r="G6" s="78">
        <v>112</v>
      </c>
      <c r="H6" s="65">
        <f>F6/G6</f>
        <v>0.6607142857142857</v>
      </c>
      <c r="I6" s="78">
        <f>Table6[[#This Row],[Absent]]/Table6[[#This Row],[Grand Total]]</f>
        <v>0.19642857142857142</v>
      </c>
      <c r="J6" s="75"/>
      <c r="K6" s="64"/>
      <c r="L6" s="64"/>
      <c r="M6" s="64"/>
      <c r="N6" s="79"/>
      <c r="O6" s="80" t="s">
        <v>630</v>
      </c>
      <c r="P6" s="80"/>
      <c r="Q6" s="69"/>
      <c r="R6" s="70"/>
      <c r="S6" s="65"/>
      <c r="T6" s="64"/>
      <c r="U6" s="64"/>
      <c r="V6" s="56"/>
      <c r="W6" s="56"/>
      <c r="X6" s="56"/>
    </row>
    <row r="7" spans="1:24" ht="30" customHeight="1" x14ac:dyDescent="0.25">
      <c r="A7" s="81"/>
      <c r="B7" s="64"/>
      <c r="C7" s="77" t="s">
        <v>110</v>
      </c>
      <c r="D7" s="78">
        <v>24</v>
      </c>
      <c r="E7" s="78">
        <v>10</v>
      </c>
      <c r="F7" s="78">
        <v>62</v>
      </c>
      <c r="G7" s="78">
        <v>96</v>
      </c>
      <c r="H7" s="65">
        <f t="shared" ref="H7:H9" si="0">F7/G7</f>
        <v>0.64583333333333337</v>
      </c>
      <c r="I7" s="78">
        <f>Table6[[#This Row],[Absent]]/Table6[[#This Row],[Grand Total]]</f>
        <v>0.25</v>
      </c>
      <c r="J7" s="75"/>
      <c r="K7" s="64"/>
      <c r="L7" s="64"/>
      <c r="M7" s="64"/>
      <c r="N7" s="77"/>
      <c r="O7" s="65"/>
      <c r="P7" s="65"/>
      <c r="Q7" s="65"/>
      <c r="R7" s="75"/>
      <c r="S7" s="65"/>
      <c r="T7" s="64"/>
      <c r="U7" s="64"/>
      <c r="V7" s="56"/>
      <c r="W7" s="56"/>
      <c r="X7" s="56"/>
    </row>
    <row r="8" spans="1:24" ht="10.8" customHeight="1" x14ac:dyDescent="0.25">
      <c r="A8" s="81"/>
      <c r="B8" s="64"/>
      <c r="C8" s="77" t="s">
        <v>100</v>
      </c>
      <c r="D8" s="78">
        <v>24</v>
      </c>
      <c r="E8" s="78">
        <v>10</v>
      </c>
      <c r="F8" s="78">
        <v>78</v>
      </c>
      <c r="G8" s="78">
        <v>112</v>
      </c>
      <c r="H8" s="65">
        <f t="shared" si="0"/>
        <v>0.6964285714285714</v>
      </c>
      <c r="I8" s="78">
        <f>Table6[[#This Row],[Absent]]/Table6[[#This Row],[Grand Total]]</f>
        <v>0.21428571428571427</v>
      </c>
      <c r="J8" s="75"/>
      <c r="K8" s="64"/>
      <c r="L8" s="64"/>
      <c r="M8" s="64"/>
      <c r="N8" s="77"/>
      <c r="O8" s="65"/>
      <c r="P8" s="65"/>
      <c r="Q8" s="65"/>
      <c r="R8" s="75"/>
      <c r="S8" s="65"/>
      <c r="T8" s="64"/>
      <c r="U8" s="64"/>
      <c r="V8" s="56"/>
      <c r="W8" s="56"/>
      <c r="X8" s="56"/>
    </row>
    <row r="9" spans="1:24" x14ac:dyDescent="0.25">
      <c r="A9" s="81"/>
      <c r="B9" s="64"/>
      <c r="C9" s="77" t="s">
        <v>108</v>
      </c>
      <c r="D9" s="78">
        <v>26</v>
      </c>
      <c r="E9" s="78">
        <v>14</v>
      </c>
      <c r="F9" s="78">
        <v>88</v>
      </c>
      <c r="G9" s="78">
        <v>128</v>
      </c>
      <c r="H9" s="65">
        <f t="shared" si="0"/>
        <v>0.6875</v>
      </c>
      <c r="I9" s="78">
        <f>Table6[[#This Row],[Absent]]/Table6[[#This Row],[Grand Total]]</f>
        <v>0.203125</v>
      </c>
      <c r="J9" s="75"/>
      <c r="K9" s="64"/>
      <c r="L9" s="64"/>
      <c r="M9" s="64"/>
      <c r="N9" s="77"/>
      <c r="O9" s="65"/>
      <c r="P9" s="65"/>
      <c r="Q9" s="65"/>
      <c r="R9" s="75"/>
      <c r="S9" s="65"/>
      <c r="T9" s="64"/>
      <c r="U9" s="64"/>
      <c r="V9" s="56"/>
      <c r="W9" s="56"/>
      <c r="X9" s="56"/>
    </row>
    <row r="10" spans="1:24" x14ac:dyDescent="0.25">
      <c r="A10" s="81"/>
      <c r="B10" s="82"/>
      <c r="C10" s="83"/>
      <c r="D10" s="84"/>
      <c r="E10" s="84"/>
      <c r="F10" s="84"/>
      <c r="G10" s="84"/>
      <c r="H10" s="63"/>
      <c r="I10" s="65"/>
      <c r="J10" s="75"/>
      <c r="K10" s="64"/>
      <c r="L10" s="64"/>
      <c r="M10" s="64"/>
      <c r="N10" s="77"/>
      <c r="O10" s="65"/>
      <c r="P10" s="65"/>
      <c r="Q10" s="65"/>
      <c r="R10" s="75"/>
      <c r="S10" s="65"/>
      <c r="T10" s="64"/>
      <c r="U10" s="64"/>
      <c r="V10" s="56"/>
      <c r="W10" s="56"/>
      <c r="X10" s="56"/>
    </row>
    <row r="11" spans="1:24" x14ac:dyDescent="0.25">
      <c r="A11" s="81"/>
      <c r="B11" s="63"/>
      <c r="C11" s="77" t="s">
        <v>617</v>
      </c>
      <c r="D11" s="65"/>
      <c r="E11" s="65"/>
      <c r="F11" s="65"/>
      <c r="G11" s="65"/>
      <c r="H11" s="65"/>
      <c r="I11" s="65"/>
      <c r="J11" s="75"/>
      <c r="K11" s="64"/>
      <c r="L11" s="64"/>
      <c r="M11" s="64"/>
      <c r="N11" s="77"/>
      <c r="O11" s="65"/>
      <c r="P11" s="65"/>
      <c r="Q11" s="65"/>
      <c r="R11" s="75"/>
      <c r="S11" s="65"/>
      <c r="T11" s="64"/>
      <c r="U11" s="64"/>
      <c r="V11" s="56"/>
      <c r="W11" s="56"/>
      <c r="X11" s="56"/>
    </row>
    <row r="12" spans="1:24" x14ac:dyDescent="0.25">
      <c r="A12" s="81"/>
      <c r="B12" s="63"/>
      <c r="C12" s="85" t="s">
        <v>632</v>
      </c>
      <c r="D12" s="65"/>
      <c r="E12" s="65"/>
      <c r="F12" s="65"/>
      <c r="G12" s="65"/>
      <c r="H12" s="65"/>
      <c r="I12" s="65"/>
      <c r="J12" s="75"/>
      <c r="K12" s="64"/>
      <c r="L12" s="64"/>
      <c r="M12" s="64"/>
      <c r="N12" s="77"/>
      <c r="O12" s="65"/>
      <c r="P12" s="65"/>
      <c r="Q12" s="65"/>
      <c r="R12" s="75"/>
      <c r="S12" s="65"/>
      <c r="T12" s="64"/>
      <c r="U12" s="64"/>
      <c r="V12" s="56"/>
      <c r="W12" s="56"/>
      <c r="X12" s="56"/>
    </row>
    <row r="13" spans="1:24" x14ac:dyDescent="0.25">
      <c r="A13" s="81"/>
      <c r="B13" s="63"/>
      <c r="C13" s="77"/>
      <c r="D13" s="65"/>
      <c r="E13" s="65"/>
      <c r="F13" s="65"/>
      <c r="G13" s="65"/>
      <c r="H13" s="65"/>
      <c r="I13" s="65"/>
      <c r="J13" s="75"/>
      <c r="K13" s="64"/>
      <c r="L13" s="64"/>
      <c r="M13" s="64"/>
      <c r="N13" s="77"/>
      <c r="O13" s="65"/>
      <c r="P13" s="65"/>
      <c r="Q13" s="65"/>
      <c r="R13" s="75"/>
      <c r="S13" s="65"/>
      <c r="T13" s="64"/>
      <c r="U13" s="64"/>
      <c r="V13" s="56"/>
      <c r="W13" s="56"/>
      <c r="X13" s="56"/>
    </row>
    <row r="14" spans="1:24" x14ac:dyDescent="0.25">
      <c r="A14" s="81"/>
      <c r="B14" s="63"/>
      <c r="C14" s="85" t="s">
        <v>633</v>
      </c>
      <c r="D14" s="65"/>
      <c r="E14" s="65"/>
      <c r="F14" s="63"/>
      <c r="G14" s="65"/>
      <c r="H14" s="65"/>
      <c r="I14" s="65"/>
      <c r="J14" s="75"/>
      <c r="K14" s="64"/>
      <c r="L14" s="64"/>
      <c r="M14" s="64"/>
      <c r="N14" s="77"/>
      <c r="O14" s="65"/>
      <c r="P14" s="65"/>
      <c r="Q14" s="65"/>
      <c r="R14" s="75"/>
      <c r="S14" s="65"/>
      <c r="T14" s="64"/>
      <c r="U14" s="64"/>
      <c r="V14" s="56"/>
      <c r="W14" s="56"/>
      <c r="X14" s="56"/>
    </row>
    <row r="15" spans="1:24" x14ac:dyDescent="0.25">
      <c r="A15" s="81"/>
      <c r="B15" s="63"/>
      <c r="C15" s="77"/>
      <c r="D15" s="65"/>
      <c r="E15" s="65"/>
      <c r="F15" s="63"/>
      <c r="G15" s="65"/>
      <c r="H15" s="65"/>
      <c r="I15" s="65"/>
      <c r="J15" s="75"/>
      <c r="K15" s="64"/>
      <c r="L15" s="64"/>
      <c r="M15" s="64"/>
      <c r="N15" s="77"/>
      <c r="O15" s="65"/>
      <c r="P15" s="65"/>
      <c r="Q15" s="65"/>
      <c r="R15" s="75"/>
      <c r="S15" s="65"/>
      <c r="T15" s="64"/>
      <c r="U15" s="64"/>
      <c r="V15" s="56"/>
      <c r="W15" s="56"/>
      <c r="X15" s="56"/>
    </row>
    <row r="16" spans="1:24" x14ac:dyDescent="0.25">
      <c r="A16" s="81"/>
      <c r="B16" s="63"/>
      <c r="C16" s="86" t="s">
        <v>634</v>
      </c>
      <c r="D16" s="87"/>
      <c r="E16" s="87"/>
      <c r="F16" s="88"/>
      <c r="G16" s="87"/>
      <c r="H16" s="87"/>
      <c r="I16" s="87"/>
      <c r="J16" s="89"/>
      <c r="K16" s="64"/>
      <c r="L16" s="64"/>
      <c r="M16" s="64"/>
      <c r="N16" s="77"/>
      <c r="O16" s="65"/>
      <c r="P16" s="65"/>
      <c r="Q16" s="65"/>
      <c r="R16" s="75"/>
      <c r="S16" s="65"/>
      <c r="T16" s="64"/>
      <c r="U16" s="64"/>
      <c r="V16" s="56"/>
      <c r="W16" s="56"/>
      <c r="X16" s="56"/>
    </row>
    <row r="17" spans="1:24" x14ac:dyDescent="0.25">
      <c r="A17" s="81"/>
      <c r="B17" s="90"/>
      <c r="C17" s="64"/>
      <c r="D17" s="64"/>
      <c r="E17" s="64"/>
      <c r="F17" s="64"/>
      <c r="G17" s="64"/>
      <c r="H17" s="91"/>
      <c r="I17" s="91"/>
      <c r="J17" s="91"/>
      <c r="K17" s="91"/>
      <c r="L17" s="64"/>
      <c r="M17" s="64"/>
      <c r="N17" s="77"/>
      <c r="O17" s="65"/>
      <c r="P17" s="65"/>
      <c r="Q17" s="65"/>
      <c r="R17" s="75"/>
      <c r="S17" s="65"/>
      <c r="T17" s="64"/>
      <c r="U17" s="64"/>
      <c r="V17" s="56"/>
      <c r="W17" s="56"/>
      <c r="X17" s="56"/>
    </row>
    <row r="18" spans="1:24" x14ac:dyDescent="0.25">
      <c r="A18" s="81"/>
      <c r="B18" s="92"/>
      <c r="C18" s="93" t="s">
        <v>614</v>
      </c>
      <c r="D18" s="80"/>
      <c r="E18" s="80"/>
      <c r="F18" s="80"/>
      <c r="G18" s="80"/>
      <c r="H18" s="94"/>
      <c r="I18" s="95"/>
      <c r="J18" s="96"/>
      <c r="K18" s="97"/>
      <c r="L18" s="65"/>
      <c r="M18" s="64"/>
      <c r="N18" s="77"/>
      <c r="O18" s="65"/>
      <c r="P18" s="65"/>
      <c r="Q18" s="65"/>
      <c r="R18" s="75"/>
      <c r="S18" s="65"/>
      <c r="T18" s="64"/>
      <c r="U18" s="64"/>
      <c r="V18" s="56"/>
      <c r="W18" s="56"/>
      <c r="X18" s="56"/>
    </row>
    <row r="19" spans="1:24" x14ac:dyDescent="0.25">
      <c r="A19" s="81"/>
      <c r="B19" s="92"/>
      <c r="C19" s="77"/>
      <c r="D19" s="65"/>
      <c r="E19" s="65"/>
      <c r="F19" s="65"/>
      <c r="G19" s="65"/>
      <c r="H19" s="97"/>
      <c r="I19" s="97"/>
      <c r="J19" s="98"/>
      <c r="K19" s="97"/>
      <c r="L19" s="65"/>
      <c r="M19" s="64"/>
      <c r="N19" s="77"/>
      <c r="O19" s="65"/>
      <c r="P19" s="65"/>
      <c r="Q19" s="65"/>
      <c r="R19" s="75"/>
      <c r="S19" s="65"/>
      <c r="T19" s="64"/>
      <c r="U19" s="64"/>
      <c r="V19" s="56"/>
      <c r="W19" s="56"/>
      <c r="X19" s="56"/>
    </row>
    <row r="20" spans="1:24" x14ac:dyDescent="0.25">
      <c r="A20" s="81"/>
      <c r="B20" s="92"/>
      <c r="C20" s="72" t="s">
        <v>601</v>
      </c>
      <c r="D20" s="73" t="s">
        <v>29</v>
      </c>
      <c r="E20" s="73" t="s">
        <v>37</v>
      </c>
      <c r="F20" s="73" t="s">
        <v>26</v>
      </c>
      <c r="G20" s="73" t="s">
        <v>602</v>
      </c>
      <c r="H20" s="73" t="s">
        <v>618</v>
      </c>
      <c r="I20" s="73" t="s">
        <v>620</v>
      </c>
      <c r="J20" s="98"/>
      <c r="K20" s="97"/>
      <c r="L20" s="65"/>
      <c r="M20" s="64"/>
      <c r="N20" s="77"/>
      <c r="O20" s="65"/>
      <c r="P20" s="65"/>
      <c r="Q20" s="65"/>
      <c r="R20" s="75"/>
      <c r="S20" s="65"/>
      <c r="T20" s="64"/>
      <c r="U20" s="64"/>
      <c r="V20" s="56"/>
      <c r="W20" s="56"/>
      <c r="X20" s="56"/>
    </row>
    <row r="21" spans="1:24" x14ac:dyDescent="0.25">
      <c r="A21" s="81"/>
      <c r="B21" s="82"/>
      <c r="C21" s="77" t="s">
        <v>104</v>
      </c>
      <c r="D21" s="78">
        <v>31</v>
      </c>
      <c r="E21" s="78">
        <v>10</v>
      </c>
      <c r="F21" s="78">
        <v>98</v>
      </c>
      <c r="G21" s="78">
        <v>139</v>
      </c>
      <c r="H21" s="99">
        <f>Table7[[#This Row],[Present]]/Table7[[#This Row],[Grand Total]]</f>
        <v>0.70503597122302153</v>
      </c>
      <c r="I21" s="99">
        <f>Table7[[#This Row],[Absent]]/Table7[[#This Row],[Grand Total]]</f>
        <v>0.22302158273381295</v>
      </c>
      <c r="J21" s="100"/>
      <c r="K21" s="101"/>
      <c r="L21" s="65"/>
      <c r="M21" s="64"/>
      <c r="N21" s="77"/>
      <c r="O21" s="65"/>
      <c r="P21" s="65"/>
      <c r="Q21" s="65"/>
      <c r="R21" s="75"/>
      <c r="S21" s="65"/>
      <c r="T21" s="64"/>
      <c r="U21" s="64"/>
      <c r="V21" s="56"/>
      <c r="W21" s="56"/>
      <c r="X21" s="56"/>
    </row>
    <row r="22" spans="1:24" x14ac:dyDescent="0.25">
      <c r="A22" s="81"/>
      <c r="B22" s="63"/>
      <c r="C22" s="77" t="s">
        <v>102</v>
      </c>
      <c r="D22" s="78">
        <v>26</v>
      </c>
      <c r="E22" s="78">
        <v>13</v>
      </c>
      <c r="F22" s="78">
        <v>76</v>
      </c>
      <c r="G22" s="78">
        <v>115</v>
      </c>
      <c r="H22" s="78">
        <f>Table7[[#This Row],[Present]]/Table7[[#This Row],[Grand Total]]</f>
        <v>0.66086956521739126</v>
      </c>
      <c r="I22" s="78">
        <f>Table7[[#This Row],[Absent]]/Table7[[#This Row],[Grand Total]]</f>
        <v>0.22608695652173913</v>
      </c>
      <c r="J22" s="75"/>
      <c r="K22" s="64"/>
      <c r="L22" s="64"/>
      <c r="M22" s="64"/>
      <c r="N22" s="77"/>
      <c r="O22" s="65"/>
      <c r="P22" s="65"/>
      <c r="Q22" s="65"/>
      <c r="R22" s="75"/>
      <c r="S22" s="65"/>
      <c r="T22" s="64"/>
      <c r="U22" s="64"/>
      <c r="V22" s="56"/>
      <c r="W22" s="56"/>
      <c r="X22" s="56"/>
    </row>
    <row r="23" spans="1:24" x14ac:dyDescent="0.25">
      <c r="A23" s="81"/>
      <c r="B23" s="63"/>
      <c r="C23" s="77" t="s">
        <v>107</v>
      </c>
      <c r="D23" s="78">
        <v>39</v>
      </c>
      <c r="E23" s="78">
        <v>27</v>
      </c>
      <c r="F23" s="78">
        <v>128</v>
      </c>
      <c r="G23" s="78">
        <v>194</v>
      </c>
      <c r="H23" s="78">
        <f>Table7[[#This Row],[Present]]/Table7[[#This Row],[Grand Total]]</f>
        <v>0.65979381443298968</v>
      </c>
      <c r="I23" s="78">
        <f>Table7[[#This Row],[Absent]]/Table7[[#This Row],[Grand Total]]</f>
        <v>0.20103092783505155</v>
      </c>
      <c r="J23" s="75"/>
      <c r="K23" s="64"/>
      <c r="L23" s="64"/>
      <c r="M23" s="64"/>
      <c r="N23" s="77"/>
      <c r="O23" s="65"/>
      <c r="P23" s="65"/>
      <c r="Q23" s="65"/>
      <c r="R23" s="75"/>
      <c r="S23" s="65"/>
      <c r="T23" s="64"/>
      <c r="U23" s="64"/>
      <c r="V23" s="56"/>
      <c r="W23" s="56"/>
      <c r="X23" s="56"/>
    </row>
    <row r="24" spans="1:24" x14ac:dyDescent="0.25">
      <c r="A24" s="81"/>
      <c r="B24" s="63"/>
      <c r="C24" s="102"/>
      <c r="D24" s="82"/>
      <c r="E24" s="82"/>
      <c r="F24" s="82"/>
      <c r="G24" s="82"/>
      <c r="H24" s="92"/>
      <c r="I24" s="92"/>
      <c r="J24" s="75"/>
      <c r="K24" s="64"/>
      <c r="L24" s="64"/>
      <c r="M24" s="64"/>
      <c r="N24" s="77"/>
      <c r="O24" s="65"/>
      <c r="P24" s="65"/>
      <c r="Q24" s="65"/>
      <c r="R24" s="75"/>
      <c r="S24" s="65"/>
      <c r="T24" s="64"/>
      <c r="U24" s="64"/>
      <c r="V24" s="56"/>
      <c r="W24" s="56"/>
      <c r="X24" s="56"/>
    </row>
    <row r="25" spans="1:24" x14ac:dyDescent="0.25">
      <c r="A25" s="81"/>
      <c r="B25" s="63"/>
      <c r="C25" s="77"/>
      <c r="D25" s="65"/>
      <c r="E25" s="65"/>
      <c r="F25" s="65"/>
      <c r="G25" s="65"/>
      <c r="H25" s="65"/>
      <c r="I25" s="65"/>
      <c r="J25" s="75"/>
      <c r="K25" s="64"/>
      <c r="L25" s="64"/>
      <c r="M25" s="64"/>
      <c r="N25" s="77"/>
      <c r="O25" s="65"/>
      <c r="P25" s="65"/>
      <c r="Q25" s="65"/>
      <c r="R25" s="75"/>
      <c r="S25" s="65"/>
      <c r="T25" s="64"/>
      <c r="U25" s="64"/>
      <c r="V25" s="56"/>
      <c r="W25" s="56"/>
      <c r="X25" s="56"/>
    </row>
    <row r="26" spans="1:24" x14ac:dyDescent="0.25">
      <c r="A26" s="81"/>
      <c r="B26" s="63"/>
      <c r="C26" s="77" t="s">
        <v>617</v>
      </c>
      <c r="D26" s="65"/>
      <c r="E26" s="65"/>
      <c r="F26" s="63"/>
      <c r="G26" s="65"/>
      <c r="H26" s="65"/>
      <c r="I26" s="65"/>
      <c r="J26" s="75"/>
      <c r="K26" s="64"/>
      <c r="L26" s="64"/>
      <c r="M26" s="64"/>
      <c r="N26" s="103"/>
      <c r="O26" s="87"/>
      <c r="P26" s="87"/>
      <c r="Q26" s="87"/>
      <c r="R26" s="89"/>
      <c r="S26" s="65"/>
      <c r="T26" s="64"/>
      <c r="U26" s="64"/>
      <c r="V26" s="56"/>
      <c r="W26" s="56"/>
      <c r="X26" s="56"/>
    </row>
    <row r="27" spans="1:24" x14ac:dyDescent="0.25">
      <c r="A27" s="81"/>
      <c r="B27" s="63"/>
      <c r="C27" s="85" t="s">
        <v>635</v>
      </c>
      <c r="D27" s="65"/>
      <c r="E27" s="65"/>
      <c r="F27" s="65"/>
      <c r="G27" s="65"/>
      <c r="H27" s="65"/>
      <c r="I27" s="65"/>
      <c r="J27" s="75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56"/>
      <c r="W27" s="56"/>
      <c r="X27" s="56"/>
    </row>
    <row r="28" spans="1:24" x14ac:dyDescent="0.25">
      <c r="A28" s="81"/>
      <c r="B28" s="64"/>
      <c r="C28" s="77"/>
      <c r="D28" s="65"/>
      <c r="E28" s="65"/>
      <c r="F28" s="65"/>
      <c r="G28" s="65"/>
      <c r="H28" s="65"/>
      <c r="I28" s="65"/>
      <c r="J28" s="75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56"/>
      <c r="W28" s="56"/>
      <c r="X28" s="56"/>
    </row>
    <row r="29" spans="1:24" x14ac:dyDescent="0.25">
      <c r="A29" s="81"/>
      <c r="B29" s="64"/>
      <c r="C29" s="86" t="s">
        <v>636</v>
      </c>
      <c r="D29" s="87"/>
      <c r="E29" s="87"/>
      <c r="F29" s="87"/>
      <c r="G29" s="87"/>
      <c r="H29" s="87"/>
      <c r="I29" s="87"/>
      <c r="J29" s="89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56"/>
      <c r="W29" s="56"/>
      <c r="X29" s="56"/>
    </row>
    <row r="30" spans="1:24" x14ac:dyDescent="0.25">
      <c r="A30" s="81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56"/>
      <c r="W30" s="56"/>
      <c r="X30" s="56"/>
    </row>
    <row r="31" spans="1:24" x14ac:dyDescent="0.25">
      <c r="A31" s="81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56"/>
      <c r="W31" s="56"/>
      <c r="X31" s="56"/>
    </row>
    <row r="32" spans="1:24" x14ac:dyDescent="0.25">
      <c r="A32" s="81"/>
      <c r="B32" s="64"/>
      <c r="C32" s="93" t="s">
        <v>615</v>
      </c>
      <c r="D32" s="80"/>
      <c r="E32" s="80"/>
      <c r="F32" s="80"/>
      <c r="G32" s="80"/>
      <c r="H32" s="69"/>
      <c r="I32" s="69"/>
      <c r="J32" s="70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56"/>
      <c r="W32" s="56"/>
      <c r="X32" s="56"/>
    </row>
    <row r="33" spans="1:24" x14ac:dyDescent="0.25">
      <c r="A33" s="81"/>
      <c r="B33" s="64"/>
      <c r="C33" s="77"/>
      <c r="D33" s="65"/>
      <c r="E33" s="65"/>
      <c r="F33" s="65"/>
      <c r="G33" s="65"/>
      <c r="H33" s="65"/>
      <c r="I33" s="65"/>
      <c r="J33" s="75"/>
      <c r="K33" s="64"/>
      <c r="L33" s="64"/>
      <c r="M33" s="64"/>
      <c r="N33" s="79"/>
      <c r="O33" s="69"/>
      <c r="P33" s="69"/>
      <c r="Q33" s="69"/>
      <c r="R33" s="70"/>
      <c r="S33" s="64"/>
      <c r="T33" s="64"/>
      <c r="U33" s="64"/>
      <c r="V33" s="56"/>
      <c r="W33" s="56"/>
      <c r="X33" s="56"/>
    </row>
    <row r="34" spans="1:24" x14ac:dyDescent="0.25">
      <c r="A34" s="81"/>
      <c r="B34" s="64"/>
      <c r="C34" s="104" t="s">
        <v>603</v>
      </c>
      <c r="D34" s="104" t="s">
        <v>608</v>
      </c>
      <c r="E34" s="105"/>
      <c r="F34" s="106"/>
      <c r="G34" s="107"/>
      <c r="H34" s="65"/>
      <c r="I34" s="65"/>
      <c r="J34" s="75"/>
      <c r="K34" s="64"/>
      <c r="L34" s="64"/>
      <c r="M34" s="64"/>
      <c r="N34" s="77"/>
      <c r="O34" s="108" t="s">
        <v>631</v>
      </c>
      <c r="P34" s="108"/>
      <c r="Q34" s="108"/>
      <c r="R34" s="75"/>
      <c r="S34" s="64"/>
      <c r="T34" s="64"/>
      <c r="U34" s="64"/>
      <c r="V34" s="56"/>
      <c r="W34" s="56"/>
      <c r="X34" s="56"/>
    </row>
    <row r="35" spans="1:24" x14ac:dyDescent="0.25">
      <c r="A35" s="81"/>
      <c r="B35" s="64"/>
      <c r="C35" s="104" t="s">
        <v>601</v>
      </c>
      <c r="D35" s="105" t="s">
        <v>29</v>
      </c>
      <c r="E35" s="106" t="s">
        <v>37</v>
      </c>
      <c r="F35" s="107" t="s">
        <v>26</v>
      </c>
      <c r="G35" s="109" t="s">
        <v>602</v>
      </c>
      <c r="H35" s="65"/>
      <c r="I35" s="65"/>
      <c r="J35" s="75"/>
      <c r="K35" s="64"/>
      <c r="L35" s="64"/>
      <c r="M35" s="64"/>
      <c r="N35" s="77"/>
      <c r="O35" s="65"/>
      <c r="P35" s="65"/>
      <c r="Q35" s="65"/>
      <c r="R35" s="75"/>
      <c r="S35" s="64"/>
      <c r="T35" s="64"/>
      <c r="U35" s="64"/>
      <c r="V35" s="56"/>
      <c r="W35" s="56"/>
      <c r="X35" s="56"/>
    </row>
    <row r="36" spans="1:24" x14ac:dyDescent="0.25">
      <c r="A36" s="81"/>
      <c r="B36" s="64"/>
      <c r="C36" s="110" t="s">
        <v>116</v>
      </c>
      <c r="D36" s="111">
        <v>55</v>
      </c>
      <c r="E36" s="112">
        <v>26</v>
      </c>
      <c r="F36" s="112">
        <v>158</v>
      </c>
      <c r="G36" s="113">
        <v>239</v>
      </c>
      <c r="H36" s="65"/>
      <c r="I36" s="65"/>
      <c r="J36" s="75"/>
      <c r="K36" s="64"/>
      <c r="L36" s="64"/>
      <c r="M36" s="64"/>
      <c r="N36" s="77"/>
      <c r="O36" s="65"/>
      <c r="P36" s="65"/>
      <c r="Q36" s="65"/>
      <c r="R36" s="75"/>
      <c r="S36" s="64"/>
      <c r="T36" s="64"/>
      <c r="U36" s="64"/>
      <c r="V36" s="56"/>
      <c r="W36" s="56"/>
      <c r="X36" s="56"/>
    </row>
    <row r="37" spans="1:24" x14ac:dyDescent="0.25">
      <c r="A37" s="81"/>
      <c r="B37" s="64"/>
      <c r="C37" s="114" t="s">
        <v>115</v>
      </c>
      <c r="D37" s="115">
        <v>41</v>
      </c>
      <c r="E37" s="78">
        <v>24</v>
      </c>
      <c r="F37" s="78">
        <v>144</v>
      </c>
      <c r="G37" s="116">
        <v>209</v>
      </c>
      <c r="H37" s="65"/>
      <c r="I37" s="65"/>
      <c r="J37" s="75"/>
      <c r="K37" s="64"/>
      <c r="L37" s="64"/>
      <c r="M37" s="64"/>
      <c r="N37" s="77"/>
      <c r="O37" s="65"/>
      <c r="P37" s="65"/>
      <c r="Q37" s="65"/>
      <c r="R37" s="75"/>
      <c r="S37" s="64"/>
      <c r="T37" s="64"/>
      <c r="U37" s="64"/>
      <c r="V37" s="56"/>
      <c r="W37" s="56"/>
      <c r="X37" s="56"/>
    </row>
    <row r="38" spans="1:24" x14ac:dyDescent="0.25">
      <c r="A38" s="81"/>
      <c r="B38" s="64"/>
      <c r="C38" s="109" t="s">
        <v>602</v>
      </c>
      <c r="D38" s="117">
        <v>96</v>
      </c>
      <c r="E38" s="118">
        <v>50</v>
      </c>
      <c r="F38" s="118">
        <v>302</v>
      </c>
      <c r="G38" s="119">
        <v>448</v>
      </c>
      <c r="H38" s="65"/>
      <c r="I38" s="65"/>
      <c r="J38" s="75"/>
      <c r="K38" s="64"/>
      <c r="L38" s="64"/>
      <c r="M38" s="64"/>
      <c r="N38" s="77"/>
      <c r="O38" s="65"/>
      <c r="P38" s="65"/>
      <c r="Q38" s="65"/>
      <c r="R38" s="75"/>
      <c r="S38" s="64"/>
      <c r="T38" s="64"/>
      <c r="U38" s="64"/>
      <c r="V38" s="56"/>
      <c r="W38" s="56"/>
      <c r="X38" s="56"/>
    </row>
    <row r="39" spans="1:24" x14ac:dyDescent="0.25">
      <c r="A39" s="81"/>
      <c r="B39" s="64"/>
      <c r="C39" s="77"/>
      <c r="D39" s="65"/>
      <c r="E39" s="65"/>
      <c r="F39" s="65"/>
      <c r="G39" s="65"/>
      <c r="H39" s="65"/>
      <c r="I39" s="65"/>
      <c r="J39" s="75"/>
      <c r="K39" s="64"/>
      <c r="L39" s="64"/>
      <c r="M39" s="64"/>
      <c r="N39" s="77"/>
      <c r="O39" s="65"/>
      <c r="P39" s="65"/>
      <c r="Q39" s="65"/>
      <c r="R39" s="75"/>
      <c r="S39" s="64"/>
      <c r="T39" s="64"/>
      <c r="U39" s="64"/>
      <c r="V39" s="56"/>
      <c r="W39" s="56"/>
      <c r="X39" s="56"/>
    </row>
    <row r="40" spans="1:24" x14ac:dyDescent="0.25">
      <c r="A40" s="81"/>
      <c r="B40" s="64"/>
      <c r="C40" s="77" t="s">
        <v>621</v>
      </c>
      <c r="D40" s="65"/>
      <c r="E40" s="65"/>
      <c r="F40" s="65"/>
      <c r="G40" s="65"/>
      <c r="H40" s="65"/>
      <c r="I40" s="65"/>
      <c r="J40" s="75"/>
      <c r="K40" s="64"/>
      <c r="L40" s="64"/>
      <c r="M40" s="64"/>
      <c r="N40" s="77"/>
      <c r="O40" s="65"/>
      <c r="P40" s="65"/>
      <c r="Q40" s="65"/>
      <c r="R40" s="75"/>
      <c r="S40" s="64"/>
      <c r="T40" s="64"/>
      <c r="U40" s="64"/>
      <c r="V40" s="56"/>
      <c r="W40" s="56"/>
      <c r="X40" s="56"/>
    </row>
    <row r="41" spans="1:24" x14ac:dyDescent="0.25">
      <c r="A41" s="81"/>
      <c r="B41" s="64"/>
      <c r="C41" s="85" t="s">
        <v>637</v>
      </c>
      <c r="D41" s="65"/>
      <c r="E41" s="65"/>
      <c r="F41" s="65"/>
      <c r="G41" s="65"/>
      <c r="H41" s="65"/>
      <c r="I41" s="65"/>
      <c r="J41" s="75"/>
      <c r="K41" s="64"/>
      <c r="L41" s="64"/>
      <c r="M41" s="64"/>
      <c r="N41" s="77"/>
      <c r="O41" s="65"/>
      <c r="P41" s="65"/>
      <c r="Q41" s="65"/>
      <c r="R41" s="75"/>
      <c r="S41" s="64"/>
      <c r="T41" s="64"/>
      <c r="U41" s="64"/>
      <c r="V41" s="56"/>
      <c r="W41" s="56"/>
      <c r="X41" s="56"/>
    </row>
    <row r="42" spans="1:24" x14ac:dyDescent="0.25">
      <c r="A42" s="81"/>
      <c r="B42" s="64"/>
      <c r="C42" s="77"/>
      <c r="D42" s="65"/>
      <c r="E42" s="65"/>
      <c r="F42" s="65"/>
      <c r="G42" s="65"/>
      <c r="H42" s="65"/>
      <c r="I42" s="65"/>
      <c r="J42" s="75"/>
      <c r="K42" s="64"/>
      <c r="L42" s="64"/>
      <c r="M42" s="64"/>
      <c r="N42" s="77"/>
      <c r="O42" s="65"/>
      <c r="P42" s="65"/>
      <c r="Q42" s="65"/>
      <c r="R42" s="75"/>
      <c r="S42" s="64"/>
      <c r="T42" s="64"/>
      <c r="U42" s="64"/>
      <c r="V42" s="56"/>
      <c r="W42" s="56"/>
      <c r="X42" s="56"/>
    </row>
    <row r="43" spans="1:24" x14ac:dyDescent="0.25">
      <c r="A43" s="81"/>
      <c r="B43" s="64"/>
      <c r="C43" s="86" t="s">
        <v>638</v>
      </c>
      <c r="D43" s="87"/>
      <c r="E43" s="87"/>
      <c r="F43" s="87"/>
      <c r="G43" s="87"/>
      <c r="H43" s="87"/>
      <c r="I43" s="87"/>
      <c r="J43" s="89"/>
      <c r="K43" s="64"/>
      <c r="L43" s="64"/>
      <c r="M43" s="64"/>
      <c r="N43" s="77"/>
      <c r="O43" s="65"/>
      <c r="P43" s="65"/>
      <c r="Q43" s="65"/>
      <c r="R43" s="75"/>
      <c r="S43" s="64"/>
      <c r="T43" s="64"/>
      <c r="U43" s="64"/>
      <c r="V43" s="56"/>
      <c r="W43" s="56"/>
      <c r="X43" s="56"/>
    </row>
    <row r="44" spans="1:24" x14ac:dyDescent="0.25">
      <c r="A44" s="81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77"/>
      <c r="O44" s="65"/>
      <c r="P44" s="65"/>
      <c r="Q44" s="65"/>
      <c r="R44" s="75"/>
      <c r="S44" s="64"/>
      <c r="T44" s="64"/>
      <c r="U44" s="64"/>
      <c r="V44" s="56"/>
      <c r="W44" s="56"/>
      <c r="X44" s="56"/>
    </row>
    <row r="45" spans="1:24" x14ac:dyDescent="0.25">
      <c r="A45" s="81"/>
      <c r="B45" s="64"/>
      <c r="C45" s="93" t="s">
        <v>616</v>
      </c>
      <c r="D45" s="80"/>
      <c r="E45" s="80"/>
      <c r="F45" s="80"/>
      <c r="G45" s="69"/>
      <c r="H45" s="69"/>
      <c r="I45" s="69"/>
      <c r="J45" s="69"/>
      <c r="K45" s="69"/>
      <c r="L45" s="70"/>
      <c r="M45" s="64"/>
      <c r="N45" s="77"/>
      <c r="O45" s="65"/>
      <c r="P45" s="65"/>
      <c r="Q45" s="65"/>
      <c r="R45" s="75"/>
      <c r="S45" s="64"/>
      <c r="T45" s="64"/>
      <c r="U45" s="64"/>
      <c r="V45" s="56"/>
      <c r="W45" s="56"/>
      <c r="X45" s="56"/>
    </row>
    <row r="46" spans="1:24" x14ac:dyDescent="0.25">
      <c r="A46" s="81"/>
      <c r="B46" s="64"/>
      <c r="C46" s="77"/>
      <c r="D46" s="65"/>
      <c r="E46" s="65"/>
      <c r="F46" s="65"/>
      <c r="G46" s="65"/>
      <c r="H46" s="65"/>
      <c r="I46" s="65"/>
      <c r="J46" s="65"/>
      <c r="K46" s="65"/>
      <c r="L46" s="75"/>
      <c r="M46" s="64"/>
      <c r="N46" s="77"/>
      <c r="O46" s="65"/>
      <c r="P46" s="65"/>
      <c r="Q46" s="65"/>
      <c r="R46" s="75"/>
      <c r="S46" s="64"/>
      <c r="T46" s="64"/>
      <c r="U46" s="64"/>
      <c r="V46" s="56"/>
      <c r="W46" s="56"/>
      <c r="X46" s="56"/>
    </row>
    <row r="47" spans="1:24" x14ac:dyDescent="0.25">
      <c r="A47" s="71"/>
      <c r="B47" s="64"/>
      <c r="C47" s="114" t="s">
        <v>609</v>
      </c>
      <c r="D47" s="114" t="s">
        <v>610</v>
      </c>
      <c r="E47" s="114" t="s">
        <v>37</v>
      </c>
      <c r="F47" s="114" t="s">
        <v>611</v>
      </c>
      <c r="G47" s="114" t="s">
        <v>121</v>
      </c>
      <c r="H47" s="103" t="s">
        <v>123</v>
      </c>
      <c r="I47" s="114" t="s">
        <v>612</v>
      </c>
      <c r="J47" s="65"/>
      <c r="K47" s="65"/>
      <c r="L47" s="75"/>
      <c r="M47" s="64"/>
      <c r="N47" s="77"/>
      <c r="O47" s="65"/>
      <c r="P47" s="65"/>
      <c r="Q47" s="65"/>
      <c r="R47" s="75"/>
      <c r="S47" s="64"/>
      <c r="T47" s="64"/>
      <c r="U47" s="64"/>
      <c r="V47" s="56"/>
      <c r="W47" s="56"/>
      <c r="X47" s="56"/>
    </row>
    <row r="48" spans="1:24" ht="13.2" hidden="1" customHeight="1" x14ac:dyDescent="0.25">
      <c r="A48" s="71"/>
      <c r="B48" s="64"/>
      <c r="C48" s="109" t="s">
        <v>24</v>
      </c>
      <c r="D48" s="120">
        <v>4</v>
      </c>
      <c r="E48" s="120">
        <v>1</v>
      </c>
      <c r="F48" s="120">
        <v>9</v>
      </c>
      <c r="G48" s="120">
        <v>14</v>
      </c>
      <c r="H48" s="105" t="s">
        <v>133</v>
      </c>
      <c r="I48" s="121">
        <f t="shared" ref="I48:I97" si="1">F48/G48</f>
        <v>0.6428571428571429</v>
      </c>
      <c r="J48" s="65"/>
      <c r="K48" s="65"/>
      <c r="L48" s="75"/>
      <c r="M48" s="64"/>
      <c r="N48" s="77"/>
      <c r="O48" s="65"/>
      <c r="P48" s="65"/>
      <c r="Q48" s="65"/>
      <c r="R48" s="75"/>
      <c r="S48" s="64"/>
      <c r="T48" s="64"/>
      <c r="U48" s="64"/>
      <c r="V48" s="56"/>
      <c r="W48" s="56"/>
      <c r="X48" s="56"/>
    </row>
    <row r="49" spans="1:24" ht="13.2" hidden="1" customHeight="1" x14ac:dyDescent="0.25">
      <c r="A49" s="71"/>
      <c r="B49" s="64"/>
      <c r="C49" s="109" t="s">
        <v>42</v>
      </c>
      <c r="D49" s="120">
        <v>3</v>
      </c>
      <c r="E49" s="120"/>
      <c r="F49" s="120">
        <v>9</v>
      </c>
      <c r="G49" s="120">
        <v>12</v>
      </c>
      <c r="H49" s="105" t="s">
        <v>129</v>
      </c>
      <c r="I49" s="120">
        <f t="shared" si="1"/>
        <v>0.75</v>
      </c>
      <c r="J49" s="65"/>
      <c r="K49" s="65"/>
      <c r="L49" s="75"/>
      <c r="M49" s="64"/>
      <c r="N49" s="77"/>
      <c r="O49" s="65"/>
      <c r="P49" s="65"/>
      <c r="Q49" s="65"/>
      <c r="R49" s="75"/>
      <c r="S49" s="64"/>
      <c r="T49" s="64"/>
      <c r="U49" s="64"/>
      <c r="V49" s="56"/>
      <c r="W49" s="56"/>
      <c r="X49" s="56"/>
    </row>
    <row r="50" spans="1:24" ht="13.2" hidden="1" customHeight="1" x14ac:dyDescent="0.25">
      <c r="A50" s="71"/>
      <c r="B50" s="64"/>
      <c r="C50" s="109" t="s">
        <v>48</v>
      </c>
      <c r="D50" s="120">
        <v>3</v>
      </c>
      <c r="E50" s="120"/>
      <c r="F50" s="120">
        <v>6</v>
      </c>
      <c r="G50" s="120">
        <v>9</v>
      </c>
      <c r="H50" s="105" t="s">
        <v>129</v>
      </c>
      <c r="I50" s="120">
        <f t="shared" si="1"/>
        <v>0.66666666666666663</v>
      </c>
      <c r="J50" s="65"/>
      <c r="K50" s="65"/>
      <c r="L50" s="75"/>
      <c r="M50" s="64"/>
      <c r="N50" s="77"/>
      <c r="O50" s="65"/>
      <c r="P50" s="65"/>
      <c r="Q50" s="65"/>
      <c r="R50" s="75"/>
      <c r="S50" s="64"/>
      <c r="T50" s="64"/>
      <c r="U50" s="64"/>
      <c r="V50" s="56"/>
      <c r="W50" s="56"/>
      <c r="X50" s="56"/>
    </row>
    <row r="51" spans="1:24" ht="13.2" hidden="1" customHeight="1" x14ac:dyDescent="0.25">
      <c r="A51" s="71"/>
      <c r="B51" s="64"/>
      <c r="C51" s="109" t="s">
        <v>49</v>
      </c>
      <c r="D51" s="120">
        <v>2</v>
      </c>
      <c r="E51" s="120">
        <v>1</v>
      </c>
      <c r="F51" s="120">
        <v>4</v>
      </c>
      <c r="G51" s="120">
        <v>7</v>
      </c>
      <c r="H51" s="105" t="s">
        <v>133</v>
      </c>
      <c r="I51" s="120">
        <f t="shared" si="1"/>
        <v>0.5714285714285714</v>
      </c>
      <c r="J51" s="65"/>
      <c r="K51" s="65"/>
      <c r="L51" s="75"/>
      <c r="M51" s="64"/>
      <c r="N51" s="77"/>
      <c r="O51" s="65"/>
      <c r="P51" s="65"/>
      <c r="Q51" s="65"/>
      <c r="R51" s="75"/>
      <c r="S51" s="64"/>
      <c r="T51" s="64"/>
      <c r="U51" s="64"/>
      <c r="V51" s="56"/>
      <c r="W51" s="56"/>
      <c r="X51" s="56"/>
    </row>
    <row r="52" spans="1:24" ht="13.2" hidden="1" customHeight="1" x14ac:dyDescent="0.25">
      <c r="A52" s="71"/>
      <c r="B52" s="64"/>
      <c r="C52" s="109" t="s">
        <v>51</v>
      </c>
      <c r="D52" s="120">
        <v>1</v>
      </c>
      <c r="E52" s="120">
        <v>1</v>
      </c>
      <c r="F52" s="120">
        <v>8</v>
      </c>
      <c r="G52" s="120">
        <v>10</v>
      </c>
      <c r="H52" s="105" t="s">
        <v>129</v>
      </c>
      <c r="I52" s="120">
        <f t="shared" si="1"/>
        <v>0.8</v>
      </c>
      <c r="J52" s="65"/>
      <c r="K52" s="65"/>
      <c r="L52" s="75"/>
      <c r="M52" s="64"/>
      <c r="N52" s="77"/>
      <c r="O52" s="65"/>
      <c r="P52" s="65"/>
      <c r="Q52" s="65"/>
      <c r="R52" s="75"/>
      <c r="S52" s="64"/>
      <c r="T52" s="64"/>
      <c r="U52" s="64"/>
      <c r="V52" s="56"/>
      <c r="W52" s="56"/>
      <c r="X52" s="56"/>
    </row>
    <row r="53" spans="1:24" x14ac:dyDescent="0.25">
      <c r="A53" s="71"/>
      <c r="B53" s="64"/>
      <c r="C53" s="109" t="s">
        <v>52</v>
      </c>
      <c r="D53" s="120">
        <v>2</v>
      </c>
      <c r="E53" s="120"/>
      <c r="F53" s="120">
        <v>4</v>
      </c>
      <c r="G53" s="120">
        <v>6</v>
      </c>
      <c r="H53" s="105" t="s">
        <v>125</v>
      </c>
      <c r="I53" s="120">
        <f t="shared" si="1"/>
        <v>0.66666666666666663</v>
      </c>
      <c r="J53" s="65"/>
      <c r="K53" s="65"/>
      <c r="L53" s="75"/>
      <c r="M53" s="64"/>
      <c r="N53" s="77"/>
      <c r="O53" s="65"/>
      <c r="P53" s="65"/>
      <c r="Q53" s="65"/>
      <c r="R53" s="75"/>
      <c r="S53" s="65"/>
      <c r="T53" s="64"/>
      <c r="U53" s="64"/>
      <c r="V53" s="56"/>
      <c r="W53" s="56"/>
      <c r="X53" s="56"/>
    </row>
    <row r="54" spans="1:24" ht="13.2" hidden="1" customHeight="1" x14ac:dyDescent="0.25">
      <c r="A54" s="71"/>
      <c r="B54" s="64"/>
      <c r="C54" s="109" t="s">
        <v>53</v>
      </c>
      <c r="D54" s="120">
        <v>2</v>
      </c>
      <c r="E54" s="120">
        <v>3</v>
      </c>
      <c r="F54" s="120">
        <v>9</v>
      </c>
      <c r="G54" s="120">
        <v>14</v>
      </c>
      <c r="H54" s="105" t="s">
        <v>133</v>
      </c>
      <c r="I54" s="120">
        <f t="shared" si="1"/>
        <v>0.6428571428571429</v>
      </c>
      <c r="J54" s="65"/>
      <c r="K54" s="65"/>
      <c r="L54" s="75"/>
      <c r="M54" s="64"/>
      <c r="N54" s="77"/>
      <c r="O54" s="65"/>
      <c r="P54" s="65"/>
      <c r="Q54" s="65"/>
      <c r="R54" s="75"/>
      <c r="S54" s="65"/>
      <c r="T54" s="64"/>
      <c r="U54" s="64"/>
      <c r="V54" s="56"/>
      <c r="W54" s="56"/>
      <c r="X54" s="56"/>
    </row>
    <row r="55" spans="1:24" ht="13.2" hidden="1" customHeight="1" x14ac:dyDescent="0.25">
      <c r="A55" s="71"/>
      <c r="B55" s="64"/>
      <c r="C55" s="109" t="s">
        <v>54</v>
      </c>
      <c r="D55" s="120"/>
      <c r="E55" s="120"/>
      <c r="F55" s="120">
        <v>5</v>
      </c>
      <c r="G55" s="120">
        <v>5</v>
      </c>
      <c r="H55" s="105" t="s">
        <v>133</v>
      </c>
      <c r="I55" s="120">
        <f t="shared" si="1"/>
        <v>1</v>
      </c>
      <c r="J55" s="65"/>
      <c r="K55" s="65"/>
      <c r="L55" s="75"/>
      <c r="M55" s="64"/>
      <c r="N55" s="77"/>
      <c r="O55" s="65"/>
      <c r="P55" s="65"/>
      <c r="Q55" s="65"/>
      <c r="R55" s="75"/>
      <c r="S55" s="65"/>
      <c r="T55" s="64"/>
      <c r="U55" s="64"/>
      <c r="V55" s="56"/>
      <c r="W55" s="56"/>
      <c r="X55" s="56"/>
    </row>
    <row r="56" spans="1:24" x14ac:dyDescent="0.25">
      <c r="A56" s="71"/>
      <c r="B56" s="64"/>
      <c r="C56" s="109" t="s">
        <v>55</v>
      </c>
      <c r="D56" s="120"/>
      <c r="E56" s="120">
        <v>1</v>
      </c>
      <c r="F56" s="120">
        <v>8</v>
      </c>
      <c r="G56" s="120">
        <v>9</v>
      </c>
      <c r="H56" s="105" t="s">
        <v>125</v>
      </c>
      <c r="I56" s="120">
        <f t="shared" si="1"/>
        <v>0.88888888888888884</v>
      </c>
      <c r="J56" s="65"/>
      <c r="K56" s="65"/>
      <c r="L56" s="75"/>
      <c r="M56" s="64"/>
      <c r="N56" s="77"/>
      <c r="O56" s="65"/>
      <c r="P56" s="65"/>
      <c r="Q56" s="65"/>
      <c r="R56" s="75"/>
      <c r="S56" s="65"/>
      <c r="T56" s="64"/>
      <c r="U56" s="64"/>
      <c r="V56" s="56"/>
      <c r="W56" s="56"/>
      <c r="X56" s="56"/>
    </row>
    <row r="57" spans="1:24" x14ac:dyDescent="0.25">
      <c r="A57" s="71"/>
      <c r="B57" s="64"/>
      <c r="C57" s="109" t="s">
        <v>56</v>
      </c>
      <c r="D57" s="120">
        <v>1</v>
      </c>
      <c r="E57" s="120">
        <v>1</v>
      </c>
      <c r="F57" s="120">
        <v>6</v>
      </c>
      <c r="G57" s="120">
        <v>8</v>
      </c>
      <c r="H57" s="105" t="s">
        <v>125</v>
      </c>
      <c r="I57" s="120">
        <f t="shared" si="1"/>
        <v>0.75</v>
      </c>
      <c r="J57" s="65"/>
      <c r="K57" s="65"/>
      <c r="L57" s="75"/>
      <c r="M57" s="64"/>
      <c r="N57" s="77"/>
      <c r="O57" s="65"/>
      <c r="P57" s="65"/>
      <c r="Q57" s="65"/>
      <c r="R57" s="75"/>
      <c r="S57" s="65"/>
      <c r="T57" s="64"/>
      <c r="U57" s="64"/>
      <c r="V57" s="56"/>
      <c r="W57" s="56"/>
      <c r="X57" s="56"/>
    </row>
    <row r="58" spans="1:24" ht="13.2" hidden="1" customHeight="1" x14ac:dyDescent="0.25">
      <c r="A58" s="71"/>
      <c r="B58" s="64"/>
      <c r="C58" s="109" t="s">
        <v>57</v>
      </c>
      <c r="D58" s="120">
        <v>4</v>
      </c>
      <c r="E58" s="120">
        <v>3</v>
      </c>
      <c r="F58" s="120">
        <v>6</v>
      </c>
      <c r="G58" s="120">
        <v>13</v>
      </c>
      <c r="H58" s="105" t="s">
        <v>131</v>
      </c>
      <c r="I58" s="120">
        <f t="shared" si="1"/>
        <v>0.46153846153846156</v>
      </c>
      <c r="J58" s="65"/>
      <c r="K58" s="65"/>
      <c r="L58" s="75"/>
      <c r="M58" s="64"/>
      <c r="N58" s="77"/>
      <c r="O58" s="65"/>
      <c r="P58" s="65"/>
      <c r="Q58" s="65"/>
      <c r="R58" s="75"/>
      <c r="S58" s="65"/>
      <c r="T58" s="64"/>
      <c r="U58" s="64"/>
      <c r="V58" s="56"/>
      <c r="W58" s="56"/>
      <c r="X58" s="56"/>
    </row>
    <row r="59" spans="1:24" ht="13.2" hidden="1" customHeight="1" x14ac:dyDescent="0.25">
      <c r="A59" s="71"/>
      <c r="B59" s="64"/>
      <c r="C59" s="109" t="s">
        <v>58</v>
      </c>
      <c r="D59" s="120"/>
      <c r="E59" s="120">
        <v>3</v>
      </c>
      <c r="F59" s="120">
        <v>3</v>
      </c>
      <c r="G59" s="120">
        <v>6</v>
      </c>
      <c r="H59" s="105" t="s">
        <v>129</v>
      </c>
      <c r="I59" s="120">
        <f t="shared" si="1"/>
        <v>0.5</v>
      </c>
      <c r="J59" s="65"/>
      <c r="K59" s="65"/>
      <c r="L59" s="75"/>
      <c r="M59" s="64"/>
      <c r="N59" s="77"/>
      <c r="O59" s="65"/>
      <c r="P59" s="65"/>
      <c r="Q59" s="65"/>
      <c r="R59" s="75"/>
      <c r="S59" s="65"/>
      <c r="T59" s="64"/>
      <c r="U59" s="64"/>
      <c r="V59" s="56"/>
      <c r="W59" s="56"/>
      <c r="X59" s="56"/>
    </row>
    <row r="60" spans="1:24" ht="13.2" hidden="1" customHeight="1" x14ac:dyDescent="0.25">
      <c r="A60" s="71"/>
      <c r="B60" s="64"/>
      <c r="C60" s="109" t="s">
        <v>59</v>
      </c>
      <c r="D60" s="120">
        <v>1</v>
      </c>
      <c r="E60" s="120"/>
      <c r="F60" s="120">
        <v>4</v>
      </c>
      <c r="G60" s="120">
        <v>5</v>
      </c>
      <c r="H60" s="105" t="s">
        <v>127</v>
      </c>
      <c r="I60" s="120">
        <f t="shared" si="1"/>
        <v>0.8</v>
      </c>
      <c r="J60" s="65"/>
      <c r="K60" s="65"/>
      <c r="L60" s="75"/>
      <c r="M60" s="64"/>
      <c r="N60" s="77"/>
      <c r="O60" s="65"/>
      <c r="P60" s="65"/>
      <c r="Q60" s="65"/>
      <c r="R60" s="75"/>
      <c r="S60" s="65"/>
      <c r="T60" s="64"/>
      <c r="U60" s="64"/>
      <c r="V60" s="56"/>
      <c r="W60" s="56"/>
      <c r="X60" s="56"/>
    </row>
    <row r="61" spans="1:24" ht="13.2" hidden="1" customHeight="1" x14ac:dyDescent="0.25">
      <c r="A61" s="71"/>
      <c r="B61" s="64"/>
      <c r="C61" s="109" t="s">
        <v>60</v>
      </c>
      <c r="D61" s="120">
        <v>1</v>
      </c>
      <c r="E61" s="120"/>
      <c r="F61" s="120">
        <v>4</v>
      </c>
      <c r="G61" s="120">
        <v>5</v>
      </c>
      <c r="H61" s="105" t="s">
        <v>127</v>
      </c>
      <c r="I61" s="120">
        <f t="shared" si="1"/>
        <v>0.8</v>
      </c>
      <c r="J61" s="65"/>
      <c r="K61" s="65"/>
      <c r="L61" s="75"/>
      <c r="M61" s="64"/>
      <c r="N61" s="77"/>
      <c r="O61" s="65"/>
      <c r="P61" s="65"/>
      <c r="Q61" s="65"/>
      <c r="R61" s="75"/>
      <c r="S61" s="65"/>
      <c r="T61" s="64"/>
      <c r="U61" s="64"/>
      <c r="V61" s="56"/>
      <c r="W61" s="56"/>
      <c r="X61" s="56"/>
    </row>
    <row r="62" spans="1:24" ht="13.2" hidden="1" customHeight="1" x14ac:dyDescent="0.25">
      <c r="A62" s="71"/>
      <c r="B62" s="64"/>
      <c r="C62" s="109" t="s">
        <v>61</v>
      </c>
      <c r="D62" s="120">
        <v>1</v>
      </c>
      <c r="E62" s="120">
        <v>1</v>
      </c>
      <c r="F62" s="120">
        <v>7</v>
      </c>
      <c r="G62" s="120">
        <v>9</v>
      </c>
      <c r="H62" s="105" t="s">
        <v>131</v>
      </c>
      <c r="I62" s="120">
        <f t="shared" si="1"/>
        <v>0.77777777777777779</v>
      </c>
      <c r="J62" s="65"/>
      <c r="K62" s="65"/>
      <c r="L62" s="75"/>
      <c r="M62" s="64"/>
      <c r="N62" s="77"/>
      <c r="O62" s="65"/>
      <c r="P62" s="65"/>
      <c r="Q62" s="65"/>
      <c r="R62" s="75"/>
      <c r="S62" s="65"/>
      <c r="T62" s="64"/>
      <c r="U62" s="64"/>
      <c r="V62" s="56"/>
      <c r="W62" s="56"/>
      <c r="X62" s="56"/>
    </row>
    <row r="63" spans="1:24" ht="13.2" hidden="1" customHeight="1" x14ac:dyDescent="0.25">
      <c r="A63" s="71"/>
      <c r="B63" s="64"/>
      <c r="C63" s="109" t="s">
        <v>62</v>
      </c>
      <c r="D63" s="120">
        <v>3</v>
      </c>
      <c r="E63" s="120"/>
      <c r="F63" s="120">
        <v>4</v>
      </c>
      <c r="G63" s="120">
        <v>7</v>
      </c>
      <c r="H63" s="105" t="s">
        <v>133</v>
      </c>
      <c r="I63" s="120">
        <f t="shared" si="1"/>
        <v>0.5714285714285714</v>
      </c>
      <c r="J63" s="65"/>
      <c r="K63" s="65"/>
      <c r="L63" s="75"/>
      <c r="M63" s="64"/>
      <c r="N63" s="77"/>
      <c r="O63" s="65"/>
      <c r="P63" s="65"/>
      <c r="Q63" s="65"/>
      <c r="R63" s="75"/>
      <c r="S63" s="65"/>
      <c r="T63" s="64"/>
      <c r="U63" s="64"/>
      <c r="V63" s="56"/>
      <c r="W63" s="56"/>
      <c r="X63" s="56"/>
    </row>
    <row r="64" spans="1:24" ht="13.2" hidden="1" customHeight="1" x14ac:dyDescent="0.25">
      <c r="A64" s="71"/>
      <c r="B64" s="64"/>
      <c r="C64" s="109" t="s">
        <v>63</v>
      </c>
      <c r="D64" s="120">
        <v>2</v>
      </c>
      <c r="E64" s="120">
        <v>1</v>
      </c>
      <c r="F64" s="120">
        <v>4</v>
      </c>
      <c r="G64" s="120">
        <v>7</v>
      </c>
      <c r="H64" s="105" t="s">
        <v>133</v>
      </c>
      <c r="I64" s="120">
        <f t="shared" si="1"/>
        <v>0.5714285714285714</v>
      </c>
      <c r="J64" s="65"/>
      <c r="K64" s="65"/>
      <c r="L64" s="75"/>
      <c r="M64" s="64"/>
      <c r="N64" s="77"/>
      <c r="O64" s="65"/>
      <c r="P64" s="65"/>
      <c r="Q64" s="65"/>
      <c r="R64" s="75"/>
      <c r="S64" s="65"/>
      <c r="T64" s="64"/>
      <c r="U64" s="64"/>
      <c r="V64" s="56"/>
      <c r="W64" s="56"/>
      <c r="X64" s="56"/>
    </row>
    <row r="65" spans="1:28" ht="13.2" hidden="1" customHeight="1" x14ac:dyDescent="0.25">
      <c r="A65" s="71"/>
      <c r="B65" s="64"/>
      <c r="C65" s="109" t="s">
        <v>64</v>
      </c>
      <c r="D65" s="120">
        <v>4</v>
      </c>
      <c r="E65" s="120"/>
      <c r="F65" s="120">
        <v>3</v>
      </c>
      <c r="G65" s="120">
        <v>7</v>
      </c>
      <c r="H65" s="105" t="s">
        <v>129</v>
      </c>
      <c r="I65" s="120">
        <f t="shared" si="1"/>
        <v>0.42857142857142855</v>
      </c>
      <c r="J65" s="65"/>
      <c r="K65" s="65"/>
      <c r="L65" s="75"/>
      <c r="M65" s="64"/>
      <c r="N65" s="77"/>
      <c r="O65" s="65"/>
      <c r="P65" s="65"/>
      <c r="Q65" s="65"/>
      <c r="R65" s="75"/>
      <c r="S65" s="65"/>
      <c r="T65" s="64"/>
      <c r="U65" s="64"/>
      <c r="V65" s="56"/>
      <c r="W65" s="56"/>
      <c r="X65" s="56"/>
    </row>
    <row r="66" spans="1:28" ht="13.2" hidden="1" customHeight="1" x14ac:dyDescent="0.25">
      <c r="A66" s="71"/>
      <c r="B66" s="64"/>
      <c r="C66" s="109" t="s">
        <v>65</v>
      </c>
      <c r="D66" s="120">
        <v>2</v>
      </c>
      <c r="E66" s="120"/>
      <c r="F66" s="120">
        <v>4</v>
      </c>
      <c r="G66" s="120">
        <v>6</v>
      </c>
      <c r="H66" s="105" t="s">
        <v>133</v>
      </c>
      <c r="I66" s="120">
        <f t="shared" si="1"/>
        <v>0.66666666666666663</v>
      </c>
      <c r="J66" s="65"/>
      <c r="K66" s="65"/>
      <c r="L66" s="75"/>
      <c r="M66" s="64"/>
      <c r="N66" s="77"/>
      <c r="O66" s="65"/>
      <c r="P66" s="65"/>
      <c r="Q66" s="65"/>
      <c r="R66" s="75"/>
      <c r="S66" s="65"/>
      <c r="T66" s="64"/>
      <c r="U66" s="64"/>
      <c r="V66" s="56"/>
      <c r="W66" s="56"/>
      <c r="X66" s="56"/>
    </row>
    <row r="67" spans="1:28" ht="13.2" hidden="1" customHeight="1" x14ac:dyDescent="0.25">
      <c r="A67" s="71"/>
      <c r="B67" s="64"/>
      <c r="C67" s="109" t="s">
        <v>66</v>
      </c>
      <c r="D67" s="120">
        <v>2</v>
      </c>
      <c r="E67" s="120"/>
      <c r="F67" s="120">
        <v>9</v>
      </c>
      <c r="G67" s="120">
        <v>11</v>
      </c>
      <c r="H67" s="105" t="s">
        <v>129</v>
      </c>
      <c r="I67" s="120">
        <f t="shared" si="1"/>
        <v>0.81818181818181823</v>
      </c>
      <c r="J67" s="65"/>
      <c r="K67" s="65"/>
      <c r="L67" s="75"/>
      <c r="M67" s="64"/>
      <c r="N67" s="77"/>
      <c r="O67" s="65"/>
      <c r="P67" s="65"/>
      <c r="Q67" s="65"/>
      <c r="R67" s="75"/>
      <c r="S67" s="65"/>
      <c r="T67" s="64"/>
      <c r="U67" s="64"/>
      <c r="V67" s="56"/>
      <c r="W67" s="56"/>
      <c r="X67" s="56"/>
    </row>
    <row r="68" spans="1:28" ht="13.2" hidden="1" customHeight="1" x14ac:dyDescent="0.25">
      <c r="A68" s="71"/>
      <c r="B68" s="64"/>
      <c r="C68" s="109" t="s">
        <v>67</v>
      </c>
      <c r="D68" s="120"/>
      <c r="E68" s="120">
        <v>2</v>
      </c>
      <c r="F68" s="120">
        <v>4</v>
      </c>
      <c r="G68" s="120">
        <v>6</v>
      </c>
      <c r="H68" s="105" t="s">
        <v>131</v>
      </c>
      <c r="I68" s="120">
        <f t="shared" si="1"/>
        <v>0.66666666666666663</v>
      </c>
      <c r="J68" s="65"/>
      <c r="K68" s="65"/>
      <c r="L68" s="75"/>
      <c r="M68" s="64"/>
      <c r="N68" s="77"/>
      <c r="O68" s="65"/>
      <c r="P68" s="65"/>
      <c r="Q68" s="65"/>
      <c r="R68" s="75"/>
      <c r="S68" s="65"/>
      <c r="T68" s="64"/>
      <c r="U68" s="64"/>
      <c r="V68" s="56"/>
      <c r="W68" s="56"/>
      <c r="X68" s="56"/>
    </row>
    <row r="69" spans="1:28" ht="13.2" hidden="1" customHeight="1" x14ac:dyDescent="0.25">
      <c r="A69" s="71"/>
      <c r="B69" s="64"/>
      <c r="C69" s="109" t="s">
        <v>68</v>
      </c>
      <c r="D69" s="120">
        <v>2</v>
      </c>
      <c r="E69" s="120"/>
      <c r="F69" s="120">
        <v>7</v>
      </c>
      <c r="G69" s="120">
        <v>9</v>
      </c>
      <c r="H69" s="105" t="s">
        <v>129</v>
      </c>
      <c r="I69" s="120">
        <f t="shared" si="1"/>
        <v>0.77777777777777779</v>
      </c>
      <c r="J69" s="65"/>
      <c r="K69" s="65"/>
      <c r="L69" s="75"/>
      <c r="M69" s="64"/>
      <c r="N69" s="77"/>
      <c r="O69" s="65"/>
      <c r="P69" s="65"/>
      <c r="Q69" s="65"/>
      <c r="R69" s="75"/>
      <c r="S69" s="65"/>
      <c r="T69" s="64"/>
      <c r="U69" s="64"/>
      <c r="V69" s="56"/>
      <c r="W69" s="56"/>
      <c r="X69" s="56"/>
    </row>
    <row r="70" spans="1:28" ht="13.2" hidden="1" customHeight="1" x14ac:dyDescent="0.25">
      <c r="A70" s="71"/>
      <c r="B70" s="64"/>
      <c r="C70" s="109" t="s">
        <v>69</v>
      </c>
      <c r="D70" s="120">
        <v>2</v>
      </c>
      <c r="E70" s="120">
        <v>1</v>
      </c>
      <c r="F70" s="120">
        <v>6</v>
      </c>
      <c r="G70" s="120">
        <v>9</v>
      </c>
      <c r="H70" s="105" t="s">
        <v>133</v>
      </c>
      <c r="I70" s="120">
        <f t="shared" si="1"/>
        <v>0.66666666666666663</v>
      </c>
      <c r="J70" s="65"/>
      <c r="K70" s="65"/>
      <c r="L70" s="75"/>
      <c r="M70" s="64"/>
      <c r="N70" s="77"/>
      <c r="O70" s="65"/>
      <c r="P70" s="65"/>
      <c r="Q70" s="65"/>
      <c r="R70" s="75"/>
      <c r="S70" s="65"/>
      <c r="T70" s="64"/>
      <c r="U70" s="64"/>
      <c r="V70" s="56"/>
      <c r="W70" s="56"/>
      <c r="X70" s="56"/>
    </row>
    <row r="71" spans="1:28" ht="13.2" hidden="1" customHeight="1" x14ac:dyDescent="0.25">
      <c r="A71" s="71"/>
      <c r="B71" s="64"/>
      <c r="C71" s="109" t="s">
        <v>70</v>
      </c>
      <c r="D71" s="120">
        <v>1</v>
      </c>
      <c r="E71" s="120">
        <v>1</v>
      </c>
      <c r="F71" s="120">
        <v>5</v>
      </c>
      <c r="G71" s="120">
        <v>7</v>
      </c>
      <c r="H71" s="105" t="s">
        <v>127</v>
      </c>
      <c r="I71" s="120">
        <f t="shared" si="1"/>
        <v>0.7142857142857143</v>
      </c>
      <c r="J71" s="65"/>
      <c r="K71" s="65"/>
      <c r="L71" s="75"/>
      <c r="M71" s="64"/>
      <c r="N71" s="77"/>
      <c r="O71" s="65"/>
      <c r="P71" s="65"/>
      <c r="Q71" s="65"/>
      <c r="R71" s="75"/>
      <c r="S71" s="65"/>
      <c r="T71" s="64"/>
      <c r="U71" s="64"/>
      <c r="V71" s="56"/>
      <c r="W71" s="56"/>
      <c r="X71" s="56"/>
    </row>
    <row r="72" spans="1:28" ht="13.2" hidden="1" customHeight="1" x14ac:dyDescent="0.25">
      <c r="A72" s="71"/>
      <c r="B72" s="64"/>
      <c r="C72" s="109" t="s">
        <v>71</v>
      </c>
      <c r="D72" s="120">
        <v>4</v>
      </c>
      <c r="E72" s="120">
        <v>1</v>
      </c>
      <c r="F72" s="120">
        <v>7</v>
      </c>
      <c r="G72" s="120">
        <v>12</v>
      </c>
      <c r="H72" s="105" t="s">
        <v>133</v>
      </c>
      <c r="I72" s="120">
        <f t="shared" si="1"/>
        <v>0.58333333333333337</v>
      </c>
      <c r="J72" s="65"/>
      <c r="K72" s="65"/>
      <c r="L72" s="75"/>
      <c r="M72" s="64"/>
      <c r="N72" s="77"/>
      <c r="O72" s="65"/>
      <c r="P72" s="65"/>
      <c r="Q72" s="65"/>
      <c r="R72" s="75"/>
      <c r="S72" s="65"/>
      <c r="T72" s="64"/>
      <c r="U72" s="64"/>
      <c r="V72" s="56"/>
      <c r="W72" s="56"/>
      <c r="X72" s="56"/>
    </row>
    <row r="73" spans="1:28" ht="13.2" hidden="1" customHeight="1" x14ac:dyDescent="0.25">
      <c r="A73" s="71"/>
      <c r="B73" s="64"/>
      <c r="C73" s="109" t="s">
        <v>72</v>
      </c>
      <c r="D73" s="120">
        <v>1</v>
      </c>
      <c r="E73" s="120">
        <v>1</v>
      </c>
      <c r="F73" s="120">
        <v>3</v>
      </c>
      <c r="G73" s="120">
        <v>5</v>
      </c>
      <c r="H73" s="105" t="s">
        <v>127</v>
      </c>
      <c r="I73" s="120">
        <f t="shared" si="1"/>
        <v>0.6</v>
      </c>
      <c r="J73" s="65"/>
      <c r="K73" s="65"/>
      <c r="L73" s="75"/>
      <c r="M73" s="64"/>
      <c r="N73" s="77"/>
      <c r="O73" s="65"/>
      <c r="P73" s="65"/>
      <c r="Q73" s="65"/>
      <c r="R73" s="75"/>
      <c r="S73" s="65"/>
      <c r="T73" s="64"/>
      <c r="U73" s="64"/>
      <c r="V73" s="56"/>
      <c r="W73" s="56"/>
      <c r="X73" s="56"/>
    </row>
    <row r="74" spans="1:28" ht="13.2" hidden="1" customHeight="1" x14ac:dyDescent="0.25">
      <c r="A74" s="71"/>
      <c r="B74" s="64"/>
      <c r="C74" s="109" t="s">
        <v>73</v>
      </c>
      <c r="D74" s="120">
        <v>1</v>
      </c>
      <c r="E74" s="120">
        <v>2</v>
      </c>
      <c r="F74" s="120">
        <v>6</v>
      </c>
      <c r="G74" s="120">
        <v>9</v>
      </c>
      <c r="H74" s="105" t="s">
        <v>131</v>
      </c>
      <c r="I74" s="120">
        <f t="shared" si="1"/>
        <v>0.66666666666666663</v>
      </c>
      <c r="J74" s="65"/>
      <c r="K74" s="65"/>
      <c r="L74" s="75"/>
      <c r="M74" s="64"/>
      <c r="N74" s="77"/>
      <c r="O74" s="65"/>
      <c r="P74" s="65"/>
      <c r="Q74" s="65"/>
      <c r="R74" s="75"/>
      <c r="S74" s="65"/>
      <c r="T74" s="64"/>
      <c r="U74" s="64"/>
      <c r="V74" s="56"/>
      <c r="W74" s="56"/>
      <c r="X74" s="56"/>
    </row>
    <row r="75" spans="1:28" ht="13.2" hidden="1" customHeight="1" x14ac:dyDescent="0.25">
      <c r="A75" s="71"/>
      <c r="B75" s="64"/>
      <c r="C75" s="109" t="s">
        <v>74</v>
      </c>
      <c r="D75" s="120"/>
      <c r="E75" s="120">
        <v>1</v>
      </c>
      <c r="F75" s="120">
        <v>10</v>
      </c>
      <c r="G75" s="120">
        <v>11</v>
      </c>
      <c r="H75" s="105" t="s">
        <v>133</v>
      </c>
      <c r="I75" s="120">
        <f t="shared" si="1"/>
        <v>0.90909090909090906</v>
      </c>
      <c r="J75" s="65"/>
      <c r="K75" s="65"/>
      <c r="L75" s="75"/>
      <c r="M75" s="64"/>
      <c r="N75" s="77"/>
      <c r="O75" s="65"/>
      <c r="P75" s="65"/>
      <c r="Q75" s="65"/>
      <c r="R75" s="75"/>
      <c r="S75" s="65"/>
      <c r="T75" s="64"/>
      <c r="U75" s="64"/>
      <c r="V75" s="56"/>
      <c r="W75" s="56"/>
      <c r="X75" s="56"/>
    </row>
    <row r="76" spans="1:28" ht="13.2" hidden="1" customHeight="1" x14ac:dyDescent="0.25">
      <c r="A76" s="71"/>
      <c r="B76" s="64"/>
      <c r="C76" s="109" t="s">
        <v>75</v>
      </c>
      <c r="D76" s="120"/>
      <c r="E76" s="120">
        <v>1</v>
      </c>
      <c r="F76" s="120">
        <v>4</v>
      </c>
      <c r="G76" s="120">
        <v>5</v>
      </c>
      <c r="H76" s="105" t="s">
        <v>133</v>
      </c>
      <c r="I76" s="120">
        <f t="shared" si="1"/>
        <v>0.8</v>
      </c>
      <c r="J76" s="65"/>
      <c r="K76" s="65"/>
      <c r="L76" s="75"/>
      <c r="M76" s="64"/>
      <c r="N76" s="77"/>
      <c r="O76" s="65"/>
      <c r="P76" s="65"/>
      <c r="Q76" s="65"/>
      <c r="R76" s="75"/>
      <c r="S76" s="65"/>
      <c r="T76" s="64"/>
      <c r="U76" s="64"/>
      <c r="V76" s="56"/>
      <c r="W76" s="56"/>
      <c r="X76" s="56"/>
    </row>
    <row r="77" spans="1:28" ht="13.2" hidden="1" customHeight="1" x14ac:dyDescent="0.25">
      <c r="A77" s="71"/>
      <c r="B77" s="64"/>
      <c r="C77" s="109" t="s">
        <v>76</v>
      </c>
      <c r="D77" s="120">
        <v>2</v>
      </c>
      <c r="E77" s="120">
        <v>2</v>
      </c>
      <c r="F77" s="120">
        <v>9</v>
      </c>
      <c r="G77" s="120">
        <v>13</v>
      </c>
      <c r="H77" s="105" t="s">
        <v>129</v>
      </c>
      <c r="I77" s="120">
        <f t="shared" si="1"/>
        <v>0.69230769230769229</v>
      </c>
      <c r="J77" s="65"/>
      <c r="K77" s="65"/>
      <c r="L77" s="75"/>
      <c r="M77" s="64"/>
      <c r="N77" s="77"/>
      <c r="O77" s="65"/>
      <c r="P77" s="65"/>
      <c r="Q77" s="65"/>
      <c r="R77" s="75"/>
      <c r="S77" s="65"/>
      <c r="T77" s="64"/>
      <c r="U77" s="64"/>
      <c r="V77" s="56"/>
      <c r="W77" s="56"/>
      <c r="X77" s="56"/>
    </row>
    <row r="78" spans="1:28" ht="13.2" hidden="1" customHeight="1" x14ac:dyDescent="0.25">
      <c r="A78" s="71"/>
      <c r="B78" s="64"/>
      <c r="C78" s="109" t="s">
        <v>77</v>
      </c>
      <c r="D78" s="120"/>
      <c r="E78" s="120">
        <v>1</v>
      </c>
      <c r="F78" s="120">
        <v>6</v>
      </c>
      <c r="G78" s="120">
        <v>7</v>
      </c>
      <c r="H78" s="105" t="s">
        <v>133</v>
      </c>
      <c r="I78" s="120">
        <f t="shared" si="1"/>
        <v>0.8571428571428571</v>
      </c>
      <c r="J78" s="65"/>
      <c r="K78" s="65"/>
      <c r="L78" s="75"/>
      <c r="M78" s="64"/>
      <c r="N78" s="77"/>
      <c r="O78" s="65"/>
      <c r="P78" s="65"/>
      <c r="Q78" s="65"/>
      <c r="R78" s="75"/>
      <c r="S78" s="65"/>
      <c r="T78" s="64"/>
      <c r="U78" s="64"/>
      <c r="V78" s="56"/>
      <c r="W78" s="56"/>
      <c r="X78" s="56"/>
    </row>
    <row r="79" spans="1:28" ht="13.2" hidden="1" customHeight="1" x14ac:dyDescent="0.25">
      <c r="A79" s="71"/>
      <c r="B79" s="64"/>
      <c r="C79" s="109" t="s">
        <v>78</v>
      </c>
      <c r="D79" s="120">
        <v>1</v>
      </c>
      <c r="E79" s="120">
        <v>2</v>
      </c>
      <c r="F79" s="120">
        <v>5</v>
      </c>
      <c r="G79" s="120">
        <v>8</v>
      </c>
      <c r="H79" s="105" t="s">
        <v>127</v>
      </c>
      <c r="I79" s="120">
        <f t="shared" si="1"/>
        <v>0.625</v>
      </c>
      <c r="J79" s="65"/>
      <c r="K79" s="65"/>
      <c r="L79" s="75"/>
      <c r="M79" s="64"/>
      <c r="N79" s="77"/>
      <c r="O79" s="65"/>
      <c r="P79" s="65"/>
      <c r="Q79" s="65"/>
      <c r="R79" s="75"/>
      <c r="S79" s="65"/>
      <c r="T79" s="63"/>
      <c r="U79" s="63"/>
      <c r="V79" s="55"/>
      <c r="W79" s="55"/>
      <c r="X79" s="55"/>
      <c r="Y79" s="47"/>
      <c r="Z79" s="47"/>
      <c r="AA79" s="47"/>
      <c r="AB79" s="47"/>
    </row>
    <row r="80" spans="1:28" ht="13.2" hidden="1" customHeight="1" x14ac:dyDescent="0.25">
      <c r="A80" s="71"/>
      <c r="B80" s="64"/>
      <c r="C80" s="109" t="s">
        <v>79</v>
      </c>
      <c r="D80" s="120">
        <v>2</v>
      </c>
      <c r="E80" s="120"/>
      <c r="F80" s="120">
        <v>4</v>
      </c>
      <c r="G80" s="120">
        <v>6</v>
      </c>
      <c r="H80" s="105" t="s">
        <v>133</v>
      </c>
      <c r="I80" s="120">
        <f t="shared" si="1"/>
        <v>0.66666666666666663</v>
      </c>
      <c r="J80" s="65"/>
      <c r="K80" s="65"/>
      <c r="L80" s="75"/>
      <c r="M80" s="64"/>
      <c r="N80" s="77"/>
      <c r="O80" s="65"/>
      <c r="P80" s="65"/>
      <c r="Q80" s="65"/>
      <c r="R80" s="75"/>
      <c r="S80" s="65"/>
      <c r="T80" s="63"/>
      <c r="U80" s="122"/>
      <c r="V80" s="57"/>
      <c r="W80" s="57"/>
      <c r="X80" s="57"/>
      <c r="Y80" s="49"/>
      <c r="Z80" s="49"/>
      <c r="AA80" s="49"/>
      <c r="AB80" s="49"/>
    </row>
    <row r="81" spans="1:31" ht="13.2" hidden="1" customHeight="1" x14ac:dyDescent="0.25">
      <c r="A81" s="71"/>
      <c r="B81" s="64"/>
      <c r="C81" s="109" t="s">
        <v>80</v>
      </c>
      <c r="D81" s="120">
        <v>1</v>
      </c>
      <c r="E81" s="120">
        <v>1</v>
      </c>
      <c r="F81" s="120">
        <v>11</v>
      </c>
      <c r="G81" s="120">
        <v>13</v>
      </c>
      <c r="H81" s="105" t="s">
        <v>131</v>
      </c>
      <c r="I81" s="120">
        <f t="shared" si="1"/>
        <v>0.84615384615384615</v>
      </c>
      <c r="J81" s="65"/>
      <c r="K81" s="65"/>
      <c r="L81" s="75"/>
      <c r="M81" s="64"/>
      <c r="N81" s="77"/>
      <c r="O81" s="65"/>
      <c r="P81" s="65"/>
      <c r="Q81" s="65"/>
      <c r="R81" s="75"/>
      <c r="S81" s="65"/>
      <c r="T81" s="63"/>
      <c r="U81" s="123"/>
      <c r="V81" s="59"/>
      <c r="W81" s="58"/>
      <c r="X81" s="58"/>
      <c r="Y81" s="51"/>
      <c r="Z81" s="51"/>
      <c r="AA81" s="51"/>
      <c r="AB81" s="51"/>
    </row>
    <row r="82" spans="1:31" ht="13.2" hidden="1" customHeight="1" x14ac:dyDescent="0.25">
      <c r="A82" s="71"/>
      <c r="B82" s="64"/>
      <c r="C82" s="109" t="s">
        <v>81</v>
      </c>
      <c r="D82" s="120">
        <v>4</v>
      </c>
      <c r="E82" s="120">
        <v>1</v>
      </c>
      <c r="F82" s="120">
        <v>6</v>
      </c>
      <c r="G82" s="120">
        <v>11</v>
      </c>
      <c r="H82" s="105" t="s">
        <v>133</v>
      </c>
      <c r="I82" s="120">
        <f t="shared" si="1"/>
        <v>0.54545454545454541</v>
      </c>
      <c r="J82" s="65"/>
      <c r="K82" s="65"/>
      <c r="L82" s="75"/>
      <c r="M82" s="64"/>
      <c r="N82" s="77"/>
      <c r="O82" s="65"/>
      <c r="P82" s="65"/>
      <c r="Q82" s="65"/>
      <c r="R82" s="75"/>
      <c r="S82" s="65"/>
      <c r="T82" s="63"/>
      <c r="U82" s="63"/>
      <c r="V82" s="55"/>
      <c r="W82" s="55"/>
      <c r="X82" s="55"/>
      <c r="Y82" s="47"/>
      <c r="Z82" s="47"/>
      <c r="AA82" s="47"/>
      <c r="AB82" s="47"/>
    </row>
    <row r="83" spans="1:31" ht="13.2" hidden="1" customHeight="1" x14ac:dyDescent="0.25">
      <c r="A83" s="71"/>
      <c r="B83" s="64"/>
      <c r="C83" s="109" t="s">
        <v>82</v>
      </c>
      <c r="D83" s="120">
        <v>4</v>
      </c>
      <c r="E83" s="120">
        <v>2</v>
      </c>
      <c r="F83" s="120">
        <v>3</v>
      </c>
      <c r="G83" s="120">
        <v>9</v>
      </c>
      <c r="H83" s="105" t="s">
        <v>133</v>
      </c>
      <c r="I83" s="120">
        <f t="shared" si="1"/>
        <v>0.33333333333333331</v>
      </c>
      <c r="J83" s="65"/>
      <c r="K83" s="65"/>
      <c r="L83" s="75"/>
      <c r="M83" s="64"/>
      <c r="N83" s="77"/>
      <c r="O83" s="65"/>
      <c r="P83" s="65"/>
      <c r="Q83" s="65"/>
      <c r="R83" s="75"/>
      <c r="S83" s="65"/>
      <c r="T83" s="63"/>
      <c r="U83" s="63"/>
      <c r="V83" s="55"/>
      <c r="W83" s="55"/>
      <c r="X83" s="55"/>
      <c r="Y83" s="47"/>
      <c r="Z83" s="47"/>
      <c r="AA83" s="47"/>
      <c r="AB83" s="47"/>
    </row>
    <row r="84" spans="1:31" ht="13.2" hidden="1" customHeight="1" x14ac:dyDescent="0.25">
      <c r="A84" s="71"/>
      <c r="B84" s="64"/>
      <c r="C84" s="109" t="s">
        <v>83</v>
      </c>
      <c r="D84" s="120">
        <v>2</v>
      </c>
      <c r="E84" s="120">
        <v>2</v>
      </c>
      <c r="F84" s="120">
        <v>6</v>
      </c>
      <c r="G84" s="120">
        <v>10</v>
      </c>
      <c r="H84" s="105" t="s">
        <v>133</v>
      </c>
      <c r="I84" s="120">
        <f t="shared" si="1"/>
        <v>0.6</v>
      </c>
      <c r="J84" s="65"/>
      <c r="K84" s="65"/>
      <c r="L84" s="75"/>
      <c r="M84" s="64"/>
      <c r="N84" s="77"/>
      <c r="O84" s="65"/>
      <c r="P84" s="65"/>
      <c r="Q84" s="65"/>
      <c r="R84" s="75"/>
      <c r="S84" s="65"/>
      <c r="T84" s="64"/>
      <c r="U84" s="64"/>
      <c r="V84" s="56"/>
      <c r="W84" s="56"/>
      <c r="X84" s="56"/>
    </row>
    <row r="85" spans="1:31" ht="13.2" hidden="1" customHeight="1" x14ac:dyDescent="0.25">
      <c r="A85" s="71"/>
      <c r="B85" s="64"/>
      <c r="C85" s="109" t="s">
        <v>84</v>
      </c>
      <c r="D85" s="120">
        <v>6</v>
      </c>
      <c r="E85" s="120">
        <v>1</v>
      </c>
      <c r="F85" s="120">
        <v>7</v>
      </c>
      <c r="G85" s="120">
        <v>14</v>
      </c>
      <c r="H85" s="105" t="s">
        <v>129</v>
      </c>
      <c r="I85" s="120">
        <f t="shared" si="1"/>
        <v>0.5</v>
      </c>
      <c r="J85" s="65"/>
      <c r="K85" s="65"/>
      <c r="L85" s="75"/>
      <c r="M85" s="64"/>
      <c r="N85" s="77"/>
      <c r="O85" s="65"/>
      <c r="P85" s="65"/>
      <c r="Q85" s="65"/>
      <c r="R85" s="75"/>
      <c r="S85" s="65"/>
      <c r="T85" s="64"/>
      <c r="U85" s="64"/>
      <c r="V85" s="56"/>
      <c r="W85" s="56"/>
      <c r="X85" s="56"/>
    </row>
    <row r="86" spans="1:31" ht="13.2" hidden="1" customHeight="1" x14ac:dyDescent="0.25">
      <c r="A86" s="71"/>
      <c r="B86" s="64"/>
      <c r="C86" s="109" t="s">
        <v>85</v>
      </c>
      <c r="D86" s="120">
        <v>4</v>
      </c>
      <c r="E86" s="120"/>
      <c r="F86" s="120">
        <v>2</v>
      </c>
      <c r="G86" s="120">
        <v>6</v>
      </c>
      <c r="H86" s="105" t="s">
        <v>133</v>
      </c>
      <c r="I86" s="120">
        <f t="shared" si="1"/>
        <v>0.33333333333333331</v>
      </c>
      <c r="J86" s="65"/>
      <c r="K86" s="65"/>
      <c r="L86" s="75"/>
      <c r="M86" s="64"/>
      <c r="N86" s="77"/>
      <c r="O86" s="65"/>
      <c r="P86" s="65"/>
      <c r="Q86" s="65"/>
      <c r="R86" s="75"/>
      <c r="S86" s="65"/>
      <c r="T86" s="64"/>
      <c r="U86" s="64"/>
      <c r="V86" s="56"/>
      <c r="W86" s="56"/>
      <c r="X86" s="56"/>
    </row>
    <row r="87" spans="1:31" x14ac:dyDescent="0.25">
      <c r="A87" s="71"/>
      <c r="B87" s="64"/>
      <c r="C87" s="109" t="s">
        <v>86</v>
      </c>
      <c r="D87" s="120">
        <v>2</v>
      </c>
      <c r="E87" s="120"/>
      <c r="F87" s="120">
        <v>8</v>
      </c>
      <c r="G87" s="120">
        <v>10</v>
      </c>
      <c r="H87" s="105" t="s">
        <v>125</v>
      </c>
      <c r="I87" s="120">
        <f t="shared" si="1"/>
        <v>0.8</v>
      </c>
      <c r="J87" s="65"/>
      <c r="K87" s="65"/>
      <c r="L87" s="75"/>
      <c r="M87" s="64"/>
      <c r="N87" s="77"/>
      <c r="O87" s="65"/>
      <c r="P87" s="65"/>
      <c r="Q87" s="65"/>
      <c r="R87" s="75"/>
      <c r="S87" s="65"/>
      <c r="T87" s="64"/>
      <c r="U87" s="64"/>
      <c r="V87" s="56"/>
      <c r="W87" s="56"/>
      <c r="X87" s="56"/>
    </row>
    <row r="88" spans="1:31" ht="13.2" hidden="1" customHeight="1" x14ac:dyDescent="0.25">
      <c r="A88" s="71"/>
      <c r="B88" s="64"/>
      <c r="C88" s="109" t="s">
        <v>87</v>
      </c>
      <c r="D88" s="120">
        <v>1</v>
      </c>
      <c r="E88" s="120">
        <v>1</v>
      </c>
      <c r="F88" s="120">
        <v>9</v>
      </c>
      <c r="G88" s="120">
        <v>11</v>
      </c>
      <c r="H88" s="105" t="s">
        <v>129</v>
      </c>
      <c r="I88" s="120">
        <f t="shared" si="1"/>
        <v>0.81818181818181823</v>
      </c>
      <c r="J88" s="65"/>
      <c r="K88" s="65"/>
      <c r="L88" s="75"/>
      <c r="M88" s="64"/>
      <c r="N88" s="77"/>
      <c r="O88" s="65"/>
      <c r="P88" s="65"/>
      <c r="Q88" s="124" t="s">
        <v>601</v>
      </c>
      <c r="R88" s="75" t="s">
        <v>607</v>
      </c>
      <c r="S88" s="65"/>
      <c r="T88" s="64"/>
      <c r="U88" s="64"/>
      <c r="V88" s="56"/>
      <c r="W88" s="56"/>
      <c r="X88" s="60"/>
      <c r="Y88" s="52"/>
      <c r="Z88" s="48"/>
      <c r="AA88" s="52"/>
      <c r="AB88" s="52"/>
    </row>
    <row r="89" spans="1:31" ht="13.2" hidden="1" customHeight="1" x14ac:dyDescent="0.25">
      <c r="A89" s="71"/>
      <c r="B89" s="64"/>
      <c r="C89" s="109" t="s">
        <v>88</v>
      </c>
      <c r="D89" s="120">
        <v>3</v>
      </c>
      <c r="E89" s="120"/>
      <c r="F89" s="120">
        <v>10</v>
      </c>
      <c r="G89" s="120">
        <v>13</v>
      </c>
      <c r="H89" s="105" t="s">
        <v>131</v>
      </c>
      <c r="I89" s="120">
        <f t="shared" si="1"/>
        <v>0.76923076923076927</v>
      </c>
      <c r="J89" s="65"/>
      <c r="K89" s="65"/>
      <c r="L89" s="75"/>
      <c r="M89" s="64"/>
      <c r="N89" s="77"/>
      <c r="O89" s="65"/>
      <c r="P89" s="65"/>
      <c r="Q89" s="65" t="s">
        <v>87</v>
      </c>
      <c r="R89" s="116">
        <v>7.7272727272727275</v>
      </c>
      <c r="S89" s="65"/>
      <c r="T89" s="64"/>
      <c r="U89" s="64"/>
      <c r="V89" s="56"/>
      <c r="W89" s="56"/>
      <c r="X89" s="58"/>
      <c r="Y89" s="51"/>
      <c r="Z89" s="50"/>
      <c r="AA89" s="50"/>
      <c r="AB89" s="51"/>
    </row>
    <row r="90" spans="1:31" ht="13.2" hidden="1" customHeight="1" x14ac:dyDescent="0.25">
      <c r="A90" s="71"/>
      <c r="B90" s="64"/>
      <c r="C90" s="109" t="s">
        <v>89</v>
      </c>
      <c r="D90" s="120"/>
      <c r="E90" s="120">
        <v>2</v>
      </c>
      <c r="F90" s="120">
        <v>4</v>
      </c>
      <c r="G90" s="120">
        <v>6</v>
      </c>
      <c r="H90" s="105" t="s">
        <v>131</v>
      </c>
      <c r="I90" s="120">
        <f t="shared" si="1"/>
        <v>0.66666666666666663</v>
      </c>
      <c r="J90" s="65"/>
      <c r="K90" s="65"/>
      <c r="L90" s="75"/>
      <c r="M90" s="64"/>
      <c r="N90" s="77"/>
      <c r="O90" s="65"/>
      <c r="P90" s="65"/>
      <c r="Q90" s="65" t="s">
        <v>602</v>
      </c>
      <c r="R90" s="116">
        <v>7.7272727272727275</v>
      </c>
      <c r="S90" s="65"/>
      <c r="T90" s="64"/>
      <c r="U90" s="64"/>
      <c r="V90" s="56"/>
      <c r="W90" s="56"/>
      <c r="X90" s="61"/>
      <c r="Y90" s="54"/>
      <c r="Z90" s="53"/>
      <c r="AA90" s="53"/>
      <c r="AB90" s="54"/>
    </row>
    <row r="91" spans="1:31" ht="13.2" hidden="1" customHeight="1" x14ac:dyDescent="0.25">
      <c r="A91" s="71"/>
      <c r="B91" s="64"/>
      <c r="C91" s="109" t="s">
        <v>90</v>
      </c>
      <c r="D91" s="120">
        <v>2</v>
      </c>
      <c r="E91" s="120">
        <v>1</v>
      </c>
      <c r="F91" s="120">
        <v>4</v>
      </c>
      <c r="G91" s="120">
        <v>7</v>
      </c>
      <c r="H91" s="105" t="s">
        <v>131</v>
      </c>
      <c r="I91" s="120">
        <f t="shared" si="1"/>
        <v>0.5714285714285714</v>
      </c>
      <c r="J91" s="65"/>
      <c r="K91" s="65"/>
      <c r="L91" s="75"/>
      <c r="M91" s="64"/>
      <c r="N91" s="77"/>
      <c r="O91" s="65"/>
      <c r="P91" s="65"/>
      <c r="Q91" s="65"/>
      <c r="R91" s="75"/>
      <c r="S91" s="65"/>
      <c r="T91" s="64"/>
      <c r="U91" s="64"/>
      <c r="V91" s="56"/>
      <c r="W91" s="56"/>
      <c r="X91" s="58"/>
      <c r="Y91" s="51"/>
      <c r="Z91" s="50"/>
    </row>
    <row r="92" spans="1:31" ht="13.2" hidden="1" customHeight="1" x14ac:dyDescent="0.25">
      <c r="A92" s="71"/>
      <c r="B92" s="64"/>
      <c r="C92" s="109" t="s">
        <v>91</v>
      </c>
      <c r="D92" s="120">
        <v>1</v>
      </c>
      <c r="E92" s="120"/>
      <c r="F92" s="120">
        <v>4</v>
      </c>
      <c r="G92" s="120">
        <v>5</v>
      </c>
      <c r="H92" s="105" t="s">
        <v>133</v>
      </c>
      <c r="I92" s="120">
        <f t="shared" si="1"/>
        <v>0.8</v>
      </c>
      <c r="J92" s="65"/>
      <c r="K92" s="65"/>
      <c r="L92" s="75"/>
      <c r="M92" s="64"/>
      <c r="N92" s="77"/>
      <c r="O92" s="65"/>
      <c r="P92" s="65"/>
      <c r="Q92" s="65"/>
      <c r="R92" s="75"/>
      <c r="S92" s="65"/>
      <c r="T92" s="64"/>
      <c r="U92" s="64"/>
      <c r="V92" s="56"/>
      <c r="W92" s="56"/>
      <c r="X92" s="61"/>
      <c r="Y92" s="54"/>
      <c r="Z92" s="53"/>
    </row>
    <row r="93" spans="1:31" ht="13.2" hidden="1" customHeight="1" x14ac:dyDescent="0.25">
      <c r="A93" s="71"/>
      <c r="B93" s="64"/>
      <c r="C93" s="109" t="s">
        <v>92</v>
      </c>
      <c r="D93" s="120">
        <v>2</v>
      </c>
      <c r="E93" s="120">
        <v>2</v>
      </c>
      <c r="F93" s="120">
        <v>3</v>
      </c>
      <c r="G93" s="120">
        <v>7</v>
      </c>
      <c r="H93" s="105" t="s">
        <v>133</v>
      </c>
      <c r="I93" s="120">
        <f t="shared" si="1"/>
        <v>0.42857142857142855</v>
      </c>
      <c r="J93" s="65"/>
      <c r="K93" s="65"/>
      <c r="L93" s="75"/>
      <c r="M93" s="64"/>
      <c r="N93" s="77"/>
      <c r="O93" s="65"/>
      <c r="P93" s="65"/>
      <c r="Q93" s="65"/>
      <c r="R93" s="75"/>
      <c r="S93" s="65"/>
      <c r="T93" s="64"/>
      <c r="U93" s="64"/>
      <c r="V93" s="56"/>
      <c r="W93" s="56"/>
      <c r="X93" s="58"/>
      <c r="Y93" s="51"/>
      <c r="Z93" s="50"/>
    </row>
    <row r="94" spans="1:31" ht="13.2" hidden="1" customHeight="1" x14ac:dyDescent="0.25">
      <c r="A94" s="71"/>
      <c r="B94" s="64"/>
      <c r="C94" s="109" t="s">
        <v>93</v>
      </c>
      <c r="D94" s="120">
        <v>1</v>
      </c>
      <c r="E94" s="120">
        <v>3</v>
      </c>
      <c r="F94" s="120">
        <v>10</v>
      </c>
      <c r="G94" s="120">
        <v>14</v>
      </c>
      <c r="H94" s="105" t="s">
        <v>131</v>
      </c>
      <c r="I94" s="120">
        <f t="shared" si="1"/>
        <v>0.7142857142857143</v>
      </c>
      <c r="J94" s="65"/>
      <c r="K94" s="65"/>
      <c r="L94" s="75"/>
      <c r="M94" s="64"/>
      <c r="N94" s="77"/>
      <c r="O94" s="65"/>
      <c r="P94" s="65"/>
      <c r="Q94" s="65"/>
      <c r="R94" s="75"/>
      <c r="S94" s="65"/>
      <c r="T94" s="64"/>
      <c r="U94" s="64"/>
      <c r="V94" s="56"/>
      <c r="W94" s="56"/>
      <c r="X94" s="56"/>
    </row>
    <row r="95" spans="1:31" ht="13.2" hidden="1" customHeight="1" x14ac:dyDescent="0.25">
      <c r="A95" s="71"/>
      <c r="B95" s="64"/>
      <c r="C95" s="109" t="s">
        <v>94</v>
      </c>
      <c r="D95" s="120">
        <v>4</v>
      </c>
      <c r="E95" s="120">
        <v>1</v>
      </c>
      <c r="F95" s="120">
        <v>8</v>
      </c>
      <c r="G95" s="120">
        <v>13</v>
      </c>
      <c r="H95" s="105" t="s">
        <v>133</v>
      </c>
      <c r="I95" s="120">
        <f t="shared" si="1"/>
        <v>0.61538461538461542</v>
      </c>
      <c r="J95" s="65"/>
      <c r="K95" s="65"/>
      <c r="L95" s="75"/>
      <c r="M95" s="64"/>
      <c r="N95" s="77"/>
      <c r="O95" s="65"/>
      <c r="P95" s="65"/>
      <c r="Q95" s="65"/>
      <c r="R95" s="75"/>
      <c r="S95" s="65"/>
      <c r="T95" s="64"/>
      <c r="U95" s="64"/>
      <c r="V95" s="56"/>
      <c r="W95" s="56"/>
      <c r="X95" s="56"/>
    </row>
    <row r="96" spans="1:31" ht="13.2" hidden="1" customHeight="1" x14ac:dyDescent="0.25">
      <c r="A96" s="71"/>
      <c r="B96" s="64"/>
      <c r="C96" s="109" t="s">
        <v>95</v>
      </c>
      <c r="D96" s="120">
        <v>5</v>
      </c>
      <c r="E96" s="120">
        <v>2</v>
      </c>
      <c r="F96" s="120">
        <v>7</v>
      </c>
      <c r="G96" s="120">
        <v>14</v>
      </c>
      <c r="H96" s="105" t="s">
        <v>131</v>
      </c>
      <c r="I96" s="120">
        <f t="shared" si="1"/>
        <v>0.5</v>
      </c>
      <c r="J96" s="65"/>
      <c r="K96" s="65"/>
      <c r="L96" s="75"/>
      <c r="M96" s="64"/>
      <c r="N96" s="77"/>
      <c r="O96" s="65"/>
      <c r="P96" s="65"/>
      <c r="Q96" s="65"/>
      <c r="R96" s="75"/>
      <c r="S96" s="65"/>
      <c r="T96" s="64"/>
      <c r="U96" s="64"/>
      <c r="V96" s="56"/>
      <c r="W96" s="56"/>
      <c r="X96" s="56"/>
      <c r="AC96" s="52"/>
      <c r="AD96" s="52"/>
      <c r="AE96" s="52"/>
    </row>
    <row r="97" spans="1:31" x14ac:dyDescent="0.25">
      <c r="A97" s="71"/>
      <c r="B97" s="64"/>
      <c r="C97" s="110" t="s">
        <v>96</v>
      </c>
      <c r="D97" s="125"/>
      <c r="E97" s="125"/>
      <c r="F97" s="125">
        <v>8</v>
      </c>
      <c r="G97" s="125">
        <v>8</v>
      </c>
      <c r="H97" s="79" t="s">
        <v>125</v>
      </c>
      <c r="I97" s="125">
        <f t="shared" si="1"/>
        <v>1</v>
      </c>
      <c r="J97" s="65"/>
      <c r="K97" s="65"/>
      <c r="L97" s="75"/>
      <c r="M97" s="64"/>
      <c r="N97" s="77"/>
      <c r="O97" s="65"/>
      <c r="P97" s="65"/>
      <c r="Q97" s="65"/>
      <c r="R97" s="75"/>
      <c r="S97" s="65"/>
      <c r="T97" s="64"/>
      <c r="U97" s="64"/>
      <c r="V97" s="56"/>
      <c r="W97" s="56"/>
      <c r="X97" s="56"/>
      <c r="AC97" s="51"/>
      <c r="AD97" s="51"/>
      <c r="AE97" s="51"/>
    </row>
    <row r="98" spans="1:31" x14ac:dyDescent="0.25">
      <c r="A98" s="71"/>
      <c r="B98" s="64"/>
      <c r="C98" s="77"/>
      <c r="D98" s="65"/>
      <c r="E98" s="65"/>
      <c r="F98" s="65"/>
      <c r="G98" s="65"/>
      <c r="H98" s="65"/>
      <c r="I98" s="65"/>
      <c r="J98" s="65"/>
      <c r="K98" s="65"/>
      <c r="L98" s="75"/>
      <c r="M98" s="64"/>
      <c r="N98" s="77"/>
      <c r="O98" s="65"/>
      <c r="P98" s="65"/>
      <c r="Q98" s="65"/>
      <c r="R98" s="75"/>
      <c r="S98" s="65"/>
      <c r="T98" s="64"/>
      <c r="U98" s="64"/>
      <c r="V98" s="56"/>
      <c r="W98" s="56"/>
      <c r="X98" s="56"/>
      <c r="AC98" s="54"/>
      <c r="AD98" s="54"/>
      <c r="AE98" s="54"/>
    </row>
    <row r="99" spans="1:31" x14ac:dyDescent="0.25">
      <c r="A99" s="71"/>
      <c r="B99" s="64"/>
      <c r="C99" s="77"/>
      <c r="D99" s="65"/>
      <c r="E99" s="65"/>
      <c r="F99" s="65"/>
      <c r="G99" s="65"/>
      <c r="H99" s="65"/>
      <c r="I99" s="65"/>
      <c r="J99" s="65"/>
      <c r="K99" s="65"/>
      <c r="L99" s="75"/>
      <c r="M99" s="64"/>
      <c r="N99" s="77"/>
      <c r="O99" s="65"/>
      <c r="P99" s="65"/>
      <c r="Q99" s="65"/>
      <c r="R99" s="75"/>
      <c r="S99" s="65"/>
      <c r="T99" s="64"/>
      <c r="U99" s="64"/>
      <c r="V99" s="56"/>
      <c r="W99" s="56"/>
      <c r="X99" s="56"/>
      <c r="AC99" s="51"/>
      <c r="AD99" s="51"/>
      <c r="AE99" s="51"/>
    </row>
    <row r="100" spans="1:31" x14ac:dyDescent="0.25">
      <c r="A100" s="71"/>
      <c r="B100" s="64"/>
      <c r="C100" s="77" t="s">
        <v>617</v>
      </c>
      <c r="D100" s="65"/>
      <c r="E100" s="65"/>
      <c r="F100" s="65"/>
      <c r="G100" s="65"/>
      <c r="H100" s="65"/>
      <c r="I100" s="65"/>
      <c r="J100" s="65"/>
      <c r="K100" s="65"/>
      <c r="L100" s="75"/>
      <c r="M100" s="64"/>
      <c r="N100" s="77"/>
      <c r="O100" s="65"/>
      <c r="P100" s="65"/>
      <c r="Q100" s="65"/>
      <c r="R100" s="75"/>
      <c r="S100" s="65"/>
      <c r="T100" s="64"/>
      <c r="U100" s="64"/>
      <c r="V100" s="56"/>
      <c r="W100" s="56"/>
      <c r="X100" s="56"/>
      <c r="AC100" s="54"/>
      <c r="AD100" s="54"/>
      <c r="AE100" s="54"/>
    </row>
    <row r="101" spans="1:31" x14ac:dyDescent="0.25">
      <c r="A101" s="71"/>
      <c r="B101" s="64"/>
      <c r="C101" s="77"/>
      <c r="D101" s="65"/>
      <c r="E101" s="65"/>
      <c r="F101" s="65"/>
      <c r="G101" s="65"/>
      <c r="H101" s="65"/>
      <c r="I101" s="65"/>
      <c r="J101" s="65"/>
      <c r="K101" s="65"/>
      <c r="L101" s="75"/>
      <c r="M101" s="64"/>
      <c r="N101" s="103"/>
      <c r="O101" s="87"/>
      <c r="P101" s="87"/>
      <c r="Q101" s="87"/>
      <c r="R101" s="89"/>
      <c r="S101" s="65"/>
      <c r="T101" s="64"/>
      <c r="U101" s="64"/>
      <c r="V101" s="56"/>
      <c r="W101" s="56"/>
      <c r="X101" s="56"/>
      <c r="AC101" s="51"/>
      <c r="AD101" s="51"/>
      <c r="AE101" s="51"/>
    </row>
    <row r="102" spans="1:31" x14ac:dyDescent="0.25">
      <c r="A102" s="71"/>
      <c r="B102" s="64"/>
      <c r="C102" s="77" t="s">
        <v>622</v>
      </c>
      <c r="D102" s="65"/>
      <c r="E102" s="65"/>
      <c r="F102" s="65"/>
      <c r="G102" s="65"/>
      <c r="H102" s="65"/>
      <c r="I102" s="65"/>
      <c r="J102" s="65"/>
      <c r="K102" s="65"/>
      <c r="L102" s="75"/>
      <c r="M102" s="64"/>
      <c r="N102" s="65"/>
      <c r="O102" s="65"/>
      <c r="P102" s="65"/>
      <c r="Q102" s="65"/>
      <c r="R102" s="65"/>
      <c r="S102" s="65"/>
      <c r="T102" s="64"/>
      <c r="U102" s="64"/>
      <c r="V102" s="56"/>
      <c r="W102" s="56"/>
      <c r="X102" s="56"/>
    </row>
    <row r="103" spans="1:31" x14ac:dyDescent="0.25">
      <c r="A103" s="71"/>
      <c r="B103" s="64"/>
      <c r="C103" s="77" t="s">
        <v>623</v>
      </c>
      <c r="D103" s="65"/>
      <c r="E103" s="65"/>
      <c r="F103" s="65"/>
      <c r="G103" s="65"/>
      <c r="H103" s="65"/>
      <c r="I103" s="65"/>
      <c r="J103" s="65"/>
      <c r="K103" s="65"/>
      <c r="L103" s="75"/>
      <c r="M103" s="64"/>
      <c r="N103" s="65"/>
      <c r="O103" s="65"/>
      <c r="P103" s="65"/>
      <c r="Q103" s="65"/>
      <c r="R103" s="65"/>
      <c r="S103" s="65"/>
      <c r="T103" s="64"/>
      <c r="U103" s="64"/>
      <c r="V103" s="56"/>
      <c r="W103" s="56"/>
      <c r="X103" s="56"/>
    </row>
    <row r="104" spans="1:31" x14ac:dyDescent="0.25">
      <c r="A104" s="71"/>
      <c r="B104" s="64"/>
      <c r="C104" s="77" t="s">
        <v>624</v>
      </c>
      <c r="D104" s="65"/>
      <c r="E104" s="65"/>
      <c r="F104" s="65"/>
      <c r="G104" s="65"/>
      <c r="H104" s="65"/>
      <c r="I104" s="65"/>
      <c r="J104" s="65"/>
      <c r="K104" s="65"/>
      <c r="L104" s="75"/>
      <c r="M104" s="64"/>
      <c r="N104" s="65"/>
      <c r="O104" s="65"/>
      <c r="P104" s="65"/>
      <c r="Q104" s="65"/>
      <c r="R104" s="65"/>
      <c r="S104" s="65"/>
      <c r="T104" s="64"/>
      <c r="U104" s="64"/>
      <c r="V104" s="56"/>
      <c r="W104" s="56"/>
      <c r="X104" s="56"/>
    </row>
    <row r="105" spans="1:31" x14ac:dyDescent="0.25">
      <c r="A105" s="71"/>
      <c r="B105" s="64"/>
      <c r="C105" s="103" t="s">
        <v>625</v>
      </c>
      <c r="D105" s="87"/>
      <c r="E105" s="87"/>
      <c r="F105" s="87"/>
      <c r="G105" s="87"/>
      <c r="H105" s="87"/>
      <c r="I105" s="87"/>
      <c r="J105" s="87"/>
      <c r="K105" s="87"/>
      <c r="L105" s="89"/>
      <c r="M105" s="64"/>
      <c r="N105" s="127"/>
      <c r="O105" s="127"/>
      <c r="P105" s="127"/>
      <c r="Q105" s="127"/>
      <c r="R105" s="127"/>
      <c r="S105" s="127"/>
      <c r="T105" s="64"/>
      <c r="U105" s="64"/>
      <c r="V105" s="56"/>
      <c r="W105" s="56"/>
      <c r="X105" s="56"/>
    </row>
    <row r="106" spans="1:31" x14ac:dyDescent="0.25">
      <c r="A106" s="71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43"/>
      <c r="O106" s="44"/>
      <c r="P106" s="128"/>
      <c r="Q106" s="128"/>
      <c r="R106" s="128"/>
      <c r="S106" s="128"/>
      <c r="T106" s="44"/>
      <c r="U106" s="28"/>
      <c r="V106" s="56"/>
      <c r="W106" s="56"/>
      <c r="X106" s="56"/>
    </row>
    <row r="107" spans="1:31" x14ac:dyDescent="0.25">
      <c r="A107" s="71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45"/>
      <c r="O107" s="127" t="s">
        <v>639</v>
      </c>
      <c r="P107" s="127"/>
      <c r="Q107" s="127"/>
      <c r="R107" s="127"/>
      <c r="S107" s="127"/>
      <c r="T107" s="127"/>
      <c r="U107" s="46"/>
      <c r="V107" s="56"/>
      <c r="W107" s="56"/>
      <c r="X107" s="56"/>
    </row>
    <row r="108" spans="1:31" x14ac:dyDescent="0.25">
      <c r="A108" s="71"/>
      <c r="B108" s="64"/>
      <c r="C108" s="79"/>
      <c r="D108" s="69"/>
      <c r="E108" s="69"/>
      <c r="F108" s="69"/>
      <c r="G108" s="69"/>
      <c r="H108" s="69"/>
      <c r="I108" s="69"/>
      <c r="J108" s="69"/>
      <c r="K108" s="69"/>
      <c r="L108" s="70"/>
      <c r="M108" s="64"/>
      <c r="N108" s="45"/>
      <c r="O108" s="127"/>
      <c r="P108" s="127"/>
      <c r="Q108" s="127"/>
      <c r="R108" s="127"/>
      <c r="S108" s="127"/>
      <c r="T108" s="127"/>
      <c r="U108" s="46"/>
      <c r="V108" s="56"/>
      <c r="W108" s="56"/>
      <c r="X108" s="56"/>
    </row>
    <row r="109" spans="1:31" x14ac:dyDescent="0.25">
      <c r="A109" s="71"/>
      <c r="B109" s="64"/>
      <c r="C109" s="126" t="s">
        <v>626</v>
      </c>
      <c r="D109" s="65"/>
      <c r="E109" s="65"/>
      <c r="F109" s="65"/>
      <c r="G109" s="65"/>
      <c r="H109" s="65"/>
      <c r="I109" s="65"/>
      <c r="J109" s="65"/>
      <c r="K109" s="65"/>
      <c r="L109" s="75"/>
      <c r="M109" s="64"/>
      <c r="N109" s="45"/>
      <c r="O109" s="127" t="s">
        <v>640</v>
      </c>
      <c r="P109" s="127"/>
      <c r="Q109" s="127"/>
      <c r="R109" s="127"/>
      <c r="S109" s="127"/>
      <c r="T109" s="127"/>
      <c r="U109" s="46"/>
      <c r="V109" s="56"/>
      <c r="W109" s="56"/>
      <c r="X109" s="56"/>
    </row>
    <row r="110" spans="1:31" x14ac:dyDescent="0.25">
      <c r="A110" s="71"/>
      <c r="B110" s="64"/>
      <c r="C110" s="77"/>
      <c r="D110" s="65"/>
      <c r="E110" s="65"/>
      <c r="F110" s="65"/>
      <c r="G110" s="65"/>
      <c r="H110" s="65"/>
      <c r="I110" s="65"/>
      <c r="J110" s="65"/>
      <c r="K110" s="65"/>
      <c r="L110" s="75"/>
      <c r="M110" s="64"/>
      <c r="N110" s="45"/>
      <c r="O110" s="127" t="s">
        <v>641</v>
      </c>
      <c r="P110" s="127"/>
      <c r="Q110" s="127"/>
      <c r="R110" s="127"/>
      <c r="S110" s="127"/>
      <c r="T110" s="127"/>
      <c r="U110" s="46"/>
      <c r="V110" s="56"/>
      <c r="W110" s="56"/>
      <c r="X110" s="56"/>
    </row>
    <row r="111" spans="1:31" x14ac:dyDescent="0.25">
      <c r="A111" s="71"/>
      <c r="B111" s="64"/>
      <c r="C111" s="104" t="s">
        <v>606</v>
      </c>
      <c r="D111" s="104" t="s">
        <v>608</v>
      </c>
      <c r="E111" s="105"/>
      <c r="F111" s="106"/>
      <c r="G111" s="106"/>
      <c r="H111" s="107"/>
      <c r="I111" s="65"/>
      <c r="J111" s="65"/>
      <c r="K111" s="65"/>
      <c r="L111" s="75"/>
      <c r="M111" s="64"/>
      <c r="N111" s="45"/>
      <c r="O111" s="127" t="s">
        <v>642</v>
      </c>
      <c r="P111" s="127"/>
      <c r="Q111" s="127"/>
      <c r="R111" s="127"/>
      <c r="S111" s="127"/>
      <c r="T111" s="127"/>
      <c r="U111" s="46"/>
      <c r="V111" s="56"/>
      <c r="W111" s="56"/>
      <c r="X111" s="56"/>
    </row>
    <row r="112" spans="1:31" x14ac:dyDescent="0.25">
      <c r="A112" s="71"/>
      <c r="B112" s="64"/>
      <c r="C112" s="104" t="s">
        <v>601</v>
      </c>
      <c r="D112" s="109" t="s">
        <v>105</v>
      </c>
      <c r="E112" s="109" t="s">
        <v>110</v>
      </c>
      <c r="F112" s="109" t="s">
        <v>100</v>
      </c>
      <c r="G112" s="109" t="s">
        <v>108</v>
      </c>
      <c r="H112" s="109" t="s">
        <v>602</v>
      </c>
      <c r="I112" s="65"/>
      <c r="J112" s="65"/>
      <c r="K112" s="65"/>
      <c r="L112" s="75"/>
      <c r="M112" s="64"/>
      <c r="N112" s="45"/>
      <c r="O112" s="127" t="s">
        <v>643</v>
      </c>
      <c r="P112" s="127"/>
      <c r="Q112" s="127"/>
      <c r="R112" s="127"/>
      <c r="S112" s="127"/>
      <c r="T112" s="127"/>
      <c r="U112" s="46"/>
      <c r="V112" s="56"/>
      <c r="W112" s="56"/>
      <c r="X112" s="56"/>
    </row>
    <row r="113" spans="1:24" x14ac:dyDescent="0.25">
      <c r="A113" s="71"/>
      <c r="B113" s="64"/>
      <c r="C113" s="109" t="s">
        <v>112</v>
      </c>
      <c r="D113" s="120"/>
      <c r="E113" s="120">
        <v>25</v>
      </c>
      <c r="F113" s="120"/>
      <c r="G113" s="120">
        <v>24</v>
      </c>
      <c r="H113" s="120">
        <v>49</v>
      </c>
      <c r="I113" s="65"/>
      <c r="J113" s="65"/>
      <c r="K113" s="65"/>
      <c r="L113" s="75"/>
      <c r="M113" s="64"/>
      <c r="N113" s="45"/>
      <c r="O113" s="127" t="s">
        <v>646</v>
      </c>
      <c r="P113" s="127"/>
      <c r="Q113" s="127"/>
      <c r="R113" s="127"/>
      <c r="S113" s="127"/>
      <c r="T113" s="127"/>
      <c r="U113" s="46"/>
      <c r="V113" s="56"/>
      <c r="W113" s="56"/>
      <c r="X113" s="56"/>
    </row>
    <row r="114" spans="1:24" x14ac:dyDescent="0.25">
      <c r="A114" s="71"/>
      <c r="B114" s="64"/>
      <c r="C114" s="109" t="s">
        <v>101</v>
      </c>
      <c r="D114" s="120">
        <v>19</v>
      </c>
      <c r="E114" s="120"/>
      <c r="F114" s="120">
        <v>46</v>
      </c>
      <c r="G114" s="120">
        <v>19</v>
      </c>
      <c r="H114" s="120">
        <v>84</v>
      </c>
      <c r="I114" s="65"/>
      <c r="J114" s="65"/>
      <c r="K114" s="65"/>
      <c r="L114" s="75"/>
      <c r="M114" s="64"/>
      <c r="N114" s="45"/>
      <c r="O114" s="127" t="s">
        <v>647</v>
      </c>
      <c r="P114" s="127"/>
      <c r="Q114" s="127"/>
      <c r="R114" s="127"/>
      <c r="S114" s="127"/>
      <c r="T114" s="127"/>
      <c r="U114" s="46"/>
      <c r="V114" s="56"/>
      <c r="W114" s="56"/>
      <c r="X114" s="56"/>
    </row>
    <row r="115" spans="1:24" x14ac:dyDescent="0.25">
      <c r="A115" s="71"/>
      <c r="B115" s="64"/>
      <c r="C115" s="109" t="s">
        <v>103</v>
      </c>
      <c r="D115" s="120">
        <v>22</v>
      </c>
      <c r="E115" s="120"/>
      <c r="F115" s="120">
        <v>16</v>
      </c>
      <c r="G115" s="120"/>
      <c r="H115" s="120">
        <v>38</v>
      </c>
      <c r="I115" s="65"/>
      <c r="J115" s="65"/>
      <c r="K115" s="65"/>
      <c r="L115" s="75"/>
      <c r="M115" s="64"/>
      <c r="N115" s="45"/>
      <c r="O115" s="127"/>
      <c r="P115" s="127"/>
      <c r="Q115" s="127"/>
      <c r="R115" s="127"/>
      <c r="S115" s="127"/>
      <c r="T115" s="127"/>
      <c r="U115" s="75"/>
      <c r="V115" s="56"/>
      <c r="W115" s="56"/>
      <c r="X115" s="56"/>
    </row>
    <row r="116" spans="1:24" x14ac:dyDescent="0.25">
      <c r="A116" s="71"/>
      <c r="B116" s="64"/>
      <c r="C116" s="109" t="s">
        <v>109</v>
      </c>
      <c r="D116" s="120">
        <v>49</v>
      </c>
      <c r="E116" s="120"/>
      <c r="F116" s="120"/>
      <c r="G116" s="120">
        <v>65</v>
      </c>
      <c r="H116" s="120">
        <v>114</v>
      </c>
      <c r="I116" s="65"/>
      <c r="J116" s="65"/>
      <c r="K116" s="65"/>
      <c r="L116" s="75"/>
      <c r="M116" s="64"/>
      <c r="N116" s="77"/>
      <c r="O116" s="65"/>
      <c r="P116" s="65"/>
      <c r="Q116" s="65"/>
      <c r="R116" s="65"/>
      <c r="S116" s="65"/>
      <c r="T116" s="65"/>
      <c r="U116" s="75"/>
      <c r="V116" s="56"/>
      <c r="W116" s="56"/>
      <c r="X116" s="56"/>
    </row>
    <row r="117" spans="1:24" x14ac:dyDescent="0.25">
      <c r="A117" s="71"/>
      <c r="B117" s="64"/>
      <c r="C117" s="109" t="s">
        <v>113</v>
      </c>
      <c r="D117" s="120"/>
      <c r="E117" s="120"/>
      <c r="F117" s="120">
        <v>28</v>
      </c>
      <c r="G117" s="120"/>
      <c r="H117" s="120">
        <v>28</v>
      </c>
      <c r="I117" s="65"/>
      <c r="J117" s="65"/>
      <c r="K117" s="65"/>
      <c r="L117" s="75"/>
      <c r="M117" s="64"/>
      <c r="N117" s="77"/>
      <c r="O117" s="65"/>
      <c r="P117" s="65"/>
      <c r="Q117" s="65"/>
      <c r="R117" s="65"/>
      <c r="S117" s="65"/>
      <c r="T117" s="65"/>
      <c r="U117" s="75"/>
      <c r="V117" s="56"/>
      <c r="W117" s="56"/>
      <c r="X117" s="56"/>
    </row>
    <row r="118" spans="1:24" x14ac:dyDescent="0.25">
      <c r="A118" s="71"/>
      <c r="B118" s="64"/>
      <c r="C118" s="109" t="s">
        <v>111</v>
      </c>
      <c r="D118" s="120"/>
      <c r="E118" s="120">
        <v>47</v>
      </c>
      <c r="F118" s="120">
        <v>22</v>
      </c>
      <c r="G118" s="120">
        <v>20</v>
      </c>
      <c r="H118" s="120">
        <v>89</v>
      </c>
      <c r="I118" s="65"/>
      <c r="J118" s="65"/>
      <c r="K118" s="65"/>
      <c r="L118" s="75"/>
      <c r="M118" s="64"/>
      <c r="N118" s="103"/>
      <c r="O118" s="87"/>
      <c r="P118" s="87"/>
      <c r="Q118" s="87"/>
      <c r="R118" s="87"/>
      <c r="S118" s="87"/>
      <c r="T118" s="87"/>
      <c r="U118" s="89"/>
      <c r="V118" s="56"/>
      <c r="W118" s="56"/>
      <c r="X118" s="56"/>
    </row>
    <row r="119" spans="1:24" x14ac:dyDescent="0.25">
      <c r="A119" s="71"/>
      <c r="B119" s="64"/>
      <c r="C119" s="109" t="s">
        <v>106</v>
      </c>
      <c r="D119" s="120">
        <v>22</v>
      </c>
      <c r="E119" s="120">
        <v>24</v>
      </c>
      <c r="F119" s="120"/>
      <c r="G119" s="120"/>
      <c r="H119" s="120">
        <v>46</v>
      </c>
      <c r="I119" s="65"/>
      <c r="J119" s="65"/>
      <c r="K119" s="65"/>
      <c r="L119" s="75"/>
      <c r="M119" s="64"/>
      <c r="N119" s="64"/>
      <c r="O119" s="64"/>
      <c r="P119" s="64"/>
      <c r="Q119" s="64"/>
      <c r="R119" s="64"/>
      <c r="S119" s="64"/>
      <c r="T119" s="64"/>
      <c r="U119" s="64"/>
      <c r="V119" s="56"/>
      <c r="W119" s="56"/>
      <c r="X119" s="56"/>
    </row>
    <row r="120" spans="1:24" x14ac:dyDescent="0.25">
      <c r="A120" s="71"/>
      <c r="B120" s="64"/>
      <c r="C120" s="114" t="s">
        <v>602</v>
      </c>
      <c r="D120" s="117">
        <v>112</v>
      </c>
      <c r="E120" s="118">
        <v>96</v>
      </c>
      <c r="F120" s="118">
        <v>112</v>
      </c>
      <c r="G120" s="118">
        <v>128</v>
      </c>
      <c r="H120" s="119">
        <v>448</v>
      </c>
      <c r="I120" s="65"/>
      <c r="J120" s="65"/>
      <c r="K120" s="65"/>
      <c r="L120" s="75"/>
      <c r="M120" s="64"/>
      <c r="N120" s="64"/>
      <c r="O120" s="64"/>
      <c r="P120" s="64"/>
      <c r="Q120" s="64"/>
      <c r="R120" s="64"/>
      <c r="S120" s="64"/>
      <c r="T120" s="64"/>
      <c r="U120" s="64"/>
      <c r="V120" s="56"/>
      <c r="W120" s="56"/>
      <c r="X120" s="56"/>
    </row>
    <row r="121" spans="1:24" x14ac:dyDescent="0.25">
      <c r="A121" s="71"/>
      <c r="B121" s="64"/>
      <c r="C121" s="77"/>
      <c r="D121" s="65"/>
      <c r="E121" s="65"/>
      <c r="F121" s="65"/>
      <c r="G121" s="65"/>
      <c r="H121" s="65"/>
      <c r="I121" s="65"/>
      <c r="J121" s="65"/>
      <c r="K121" s="65"/>
      <c r="L121" s="75"/>
      <c r="M121" s="64"/>
      <c r="N121" s="64"/>
      <c r="O121" s="64"/>
      <c r="P121" s="64"/>
      <c r="Q121" s="64"/>
      <c r="R121" s="64"/>
      <c r="S121" s="64"/>
      <c r="T121" s="64"/>
      <c r="U121" s="64"/>
      <c r="V121" s="56"/>
      <c r="W121" s="56"/>
      <c r="X121" s="56"/>
    </row>
    <row r="122" spans="1:24" x14ac:dyDescent="0.25">
      <c r="A122" s="71"/>
      <c r="B122" s="64"/>
      <c r="C122" s="77"/>
      <c r="D122" s="65"/>
      <c r="E122" s="65"/>
      <c r="F122" s="65"/>
      <c r="G122" s="65"/>
      <c r="H122" s="65"/>
      <c r="I122" s="65"/>
      <c r="J122" s="65"/>
      <c r="K122" s="65"/>
      <c r="L122" s="75"/>
      <c r="M122" s="64"/>
      <c r="N122" s="64"/>
      <c r="O122" s="64"/>
      <c r="P122" s="64"/>
      <c r="Q122" s="64"/>
      <c r="R122" s="64"/>
      <c r="S122" s="64"/>
      <c r="T122" s="64"/>
      <c r="U122" s="64"/>
      <c r="V122" s="56"/>
      <c r="W122" s="56"/>
      <c r="X122" s="56"/>
    </row>
    <row r="123" spans="1:24" x14ac:dyDescent="0.25">
      <c r="A123" s="71"/>
      <c r="B123" s="64"/>
      <c r="C123" s="77" t="s">
        <v>617</v>
      </c>
      <c r="D123" s="65"/>
      <c r="E123" s="65"/>
      <c r="F123" s="65"/>
      <c r="G123" s="65"/>
      <c r="H123" s="65"/>
      <c r="I123" s="65"/>
      <c r="J123" s="65"/>
      <c r="K123" s="65"/>
      <c r="L123" s="75"/>
      <c r="M123" s="64"/>
      <c r="N123" s="64"/>
      <c r="O123" s="64"/>
      <c r="P123" s="64"/>
      <c r="Q123" s="64"/>
      <c r="R123" s="64"/>
      <c r="S123" s="64"/>
      <c r="T123" s="64"/>
      <c r="U123" s="64"/>
      <c r="V123" s="56"/>
      <c r="W123" s="56"/>
      <c r="X123" s="56"/>
    </row>
    <row r="124" spans="1:24" x14ac:dyDescent="0.25">
      <c r="A124" s="71"/>
      <c r="B124" s="64"/>
      <c r="C124" s="77"/>
      <c r="D124" s="65"/>
      <c r="E124" s="65"/>
      <c r="F124" s="65"/>
      <c r="G124" s="65"/>
      <c r="H124" s="65"/>
      <c r="I124" s="65"/>
      <c r="J124" s="65"/>
      <c r="K124" s="65"/>
      <c r="L124" s="75"/>
      <c r="M124" s="64"/>
      <c r="N124" s="64"/>
      <c r="O124" s="64"/>
      <c r="P124" s="64"/>
      <c r="Q124" s="64"/>
      <c r="R124" s="64"/>
      <c r="S124" s="64"/>
      <c r="T124" s="64"/>
      <c r="U124" s="64"/>
      <c r="V124" s="56"/>
      <c r="W124" s="56"/>
      <c r="X124" s="56"/>
    </row>
    <row r="125" spans="1:24" x14ac:dyDescent="0.25">
      <c r="A125" s="71"/>
      <c r="B125" s="64"/>
      <c r="C125" s="77"/>
      <c r="D125" s="65"/>
      <c r="E125" s="65"/>
      <c r="F125" s="65"/>
      <c r="G125" s="65"/>
      <c r="H125" s="65"/>
      <c r="I125" s="65"/>
      <c r="J125" s="65"/>
      <c r="K125" s="65"/>
      <c r="L125" s="75"/>
      <c r="M125" s="64"/>
      <c r="N125" s="64"/>
      <c r="O125" s="64"/>
      <c r="P125" s="64"/>
      <c r="Q125" s="64"/>
      <c r="R125" s="64"/>
      <c r="S125" s="64"/>
      <c r="T125" s="64"/>
      <c r="U125" s="64"/>
      <c r="V125" s="56"/>
      <c r="W125" s="56"/>
      <c r="X125" s="56"/>
    </row>
    <row r="126" spans="1:24" x14ac:dyDescent="0.25">
      <c r="A126" s="71"/>
      <c r="B126" s="64"/>
      <c r="C126" s="77" t="s">
        <v>627</v>
      </c>
      <c r="D126" s="65"/>
      <c r="E126" s="65"/>
      <c r="F126" s="65"/>
      <c r="G126" s="65"/>
      <c r="H126" s="65"/>
      <c r="I126" s="65"/>
      <c r="J126" s="65"/>
      <c r="K126" s="65"/>
      <c r="L126" s="75"/>
      <c r="M126" s="64"/>
      <c r="N126" s="64"/>
      <c r="O126" s="64"/>
      <c r="P126" s="64"/>
      <c r="Q126" s="64"/>
      <c r="R126" s="64"/>
      <c r="S126" s="64"/>
      <c r="T126" s="64"/>
      <c r="U126" s="64"/>
      <c r="V126" s="56"/>
      <c r="W126" s="56"/>
      <c r="X126" s="56"/>
    </row>
    <row r="127" spans="1:24" x14ac:dyDescent="0.25">
      <c r="A127" s="71"/>
      <c r="B127" s="64"/>
      <c r="C127" s="77" t="s">
        <v>628</v>
      </c>
      <c r="D127" s="65"/>
      <c r="E127" s="65"/>
      <c r="F127" s="65"/>
      <c r="G127" s="65"/>
      <c r="H127" s="65"/>
      <c r="I127" s="65"/>
      <c r="J127" s="65"/>
      <c r="K127" s="65"/>
      <c r="L127" s="75"/>
      <c r="M127" s="64"/>
      <c r="N127" s="64"/>
      <c r="O127" s="64"/>
      <c r="P127" s="64"/>
      <c r="Q127" s="64"/>
      <c r="R127" s="64"/>
      <c r="S127" s="64"/>
      <c r="T127" s="64"/>
      <c r="U127" s="64"/>
      <c r="V127" s="56"/>
      <c r="W127" s="56"/>
      <c r="X127" s="56"/>
    </row>
    <row r="128" spans="1:24" x14ac:dyDescent="0.25">
      <c r="A128" s="71"/>
      <c r="B128" s="64"/>
      <c r="C128" s="77" t="s">
        <v>629</v>
      </c>
      <c r="D128" s="65"/>
      <c r="E128" s="65"/>
      <c r="F128" s="65"/>
      <c r="G128" s="65"/>
      <c r="H128" s="65"/>
      <c r="I128" s="65"/>
      <c r="J128" s="65"/>
      <c r="K128" s="65"/>
      <c r="L128" s="75"/>
      <c r="M128" s="64"/>
      <c r="N128" s="64"/>
      <c r="O128" s="64"/>
      <c r="P128" s="64"/>
      <c r="Q128" s="64"/>
      <c r="R128" s="64"/>
      <c r="S128" s="64"/>
      <c r="T128" s="64"/>
      <c r="U128" s="64"/>
      <c r="V128" s="56"/>
      <c r="W128" s="56"/>
      <c r="X128" s="56"/>
    </row>
    <row r="129" spans="1:24" x14ac:dyDescent="0.25">
      <c r="A129" s="71"/>
      <c r="B129" s="64"/>
      <c r="C129" s="77"/>
      <c r="D129" s="65"/>
      <c r="E129" s="65"/>
      <c r="F129" s="65"/>
      <c r="G129" s="65"/>
      <c r="H129" s="65"/>
      <c r="I129" s="65"/>
      <c r="J129" s="65"/>
      <c r="K129" s="65"/>
      <c r="L129" s="75"/>
      <c r="M129" s="64"/>
      <c r="N129" s="64"/>
      <c r="O129" s="64"/>
      <c r="P129" s="64"/>
      <c r="Q129" s="64"/>
      <c r="R129" s="64"/>
      <c r="S129" s="64"/>
      <c r="T129" s="64"/>
      <c r="U129" s="64"/>
      <c r="V129" s="56"/>
      <c r="W129" s="56"/>
      <c r="X129" s="56"/>
    </row>
    <row r="130" spans="1:24" x14ac:dyDescent="0.25">
      <c r="A130" s="71"/>
      <c r="B130" s="64"/>
      <c r="C130" s="103"/>
      <c r="D130" s="87"/>
      <c r="E130" s="87"/>
      <c r="F130" s="87"/>
      <c r="G130" s="87"/>
      <c r="H130" s="87"/>
      <c r="I130" s="87"/>
      <c r="J130" s="87"/>
      <c r="K130" s="87"/>
      <c r="L130" s="89"/>
      <c r="M130" s="64"/>
      <c r="N130" s="64"/>
      <c r="O130" s="64"/>
      <c r="P130" s="64"/>
      <c r="Q130" s="64"/>
      <c r="R130" s="64"/>
      <c r="S130" s="64"/>
      <c r="T130" s="64"/>
      <c r="U130" s="64"/>
      <c r="V130" s="56"/>
      <c r="W130" s="56"/>
      <c r="X130" s="56"/>
    </row>
    <row r="131" spans="1:24" x14ac:dyDescent="0.25">
      <c r="A131" s="71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56"/>
      <c r="W131" s="56"/>
      <c r="X131" s="56"/>
    </row>
    <row r="132" spans="1:24" x14ac:dyDescent="0.25">
      <c r="A132" s="71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56"/>
      <c r="W132" s="56"/>
      <c r="X132" s="56"/>
    </row>
    <row r="133" spans="1:24" x14ac:dyDescent="0.25">
      <c r="A133" s="71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56"/>
      <c r="W133" s="56"/>
      <c r="X133" s="56"/>
    </row>
    <row r="134" spans="1:24" x14ac:dyDescent="0.25">
      <c r="A134" s="71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56"/>
      <c r="W134" s="56"/>
      <c r="X134" s="56"/>
    </row>
    <row r="135" spans="1:24" x14ac:dyDescent="0.2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66"/>
      <c r="R135" s="71"/>
      <c r="S135" s="71"/>
      <c r="T135" s="71"/>
      <c r="U135" s="71"/>
    </row>
    <row r="136" spans="1:24" x14ac:dyDescent="0.25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66"/>
      <c r="R136" s="71"/>
      <c r="S136" s="71"/>
      <c r="T136" s="71"/>
      <c r="U136" s="71"/>
    </row>
    <row r="137" spans="1:24" x14ac:dyDescent="0.25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66"/>
      <c r="R137" s="71"/>
      <c r="S137" s="71"/>
      <c r="T137" s="71"/>
      <c r="U137" s="71"/>
    </row>
    <row r="138" spans="1:24" x14ac:dyDescent="0.25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66"/>
      <c r="R138" s="71"/>
      <c r="S138" s="71"/>
      <c r="T138" s="71"/>
      <c r="U138" s="71"/>
    </row>
    <row r="139" spans="1:24" x14ac:dyDescent="0.2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66"/>
      <c r="R139" s="71"/>
      <c r="S139" s="71"/>
      <c r="T139" s="71"/>
      <c r="U139" s="71"/>
    </row>
    <row r="140" spans="1:24" x14ac:dyDescent="0.2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66"/>
      <c r="R140" s="71"/>
      <c r="S140" s="71"/>
      <c r="T140" s="71"/>
      <c r="U140" s="71"/>
    </row>
    <row r="141" spans="1:24" x14ac:dyDescent="0.2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66"/>
      <c r="R141" s="71"/>
      <c r="S141" s="71"/>
      <c r="T141" s="71"/>
      <c r="U141" s="71"/>
    </row>
    <row r="142" spans="1:24" x14ac:dyDescent="0.2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66"/>
      <c r="R142" s="71"/>
      <c r="S142" s="71"/>
      <c r="T142" s="71"/>
      <c r="U142" s="71"/>
    </row>
    <row r="143" spans="1:24" x14ac:dyDescent="0.2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66"/>
      <c r="R143" s="71"/>
      <c r="S143" s="71"/>
      <c r="T143" s="71"/>
      <c r="U143" s="71"/>
    </row>
    <row r="144" spans="1:24" x14ac:dyDescent="0.2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66"/>
      <c r="R144" s="71"/>
      <c r="S144" s="71"/>
      <c r="T144" s="71"/>
      <c r="U144" s="71"/>
    </row>
    <row r="145" spans="1:21" x14ac:dyDescent="0.2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66"/>
      <c r="R145" s="71"/>
      <c r="S145" s="71"/>
      <c r="T145" s="71"/>
      <c r="U145" s="71"/>
    </row>
    <row r="146" spans="1:21" x14ac:dyDescent="0.25">
      <c r="Q146" s="38"/>
    </row>
    <row r="147" spans="1:21" x14ac:dyDescent="0.25">
      <c r="Q147" s="38"/>
    </row>
    <row r="148" spans="1:21" x14ac:dyDescent="0.25">
      <c r="Q148" s="38"/>
    </row>
    <row r="149" spans="1:21" x14ac:dyDescent="0.25">
      <c r="Q149" s="38"/>
    </row>
    <row r="150" spans="1:21" x14ac:dyDescent="0.25">
      <c r="Q150" s="38"/>
    </row>
    <row r="151" spans="1:21" x14ac:dyDescent="0.25">
      <c r="Q151" s="38"/>
    </row>
    <row r="152" spans="1:21" x14ac:dyDescent="0.25">
      <c r="Q152" s="38"/>
    </row>
    <row r="153" spans="1:21" x14ac:dyDescent="0.25">
      <c r="Q153" s="38"/>
    </row>
    <row r="154" spans="1:21" x14ac:dyDescent="0.25">
      <c r="Q154" s="38"/>
    </row>
    <row r="155" spans="1:21" x14ac:dyDescent="0.25">
      <c r="Q155" s="38"/>
    </row>
    <row r="156" spans="1:21" x14ac:dyDescent="0.25">
      <c r="Q156" s="38"/>
    </row>
    <row r="157" spans="1:21" x14ac:dyDescent="0.25">
      <c r="Q157" s="38"/>
    </row>
    <row r="158" spans="1:21" x14ac:dyDescent="0.25">
      <c r="Q158" s="38"/>
    </row>
    <row r="159" spans="1:21" x14ac:dyDescent="0.25">
      <c r="Q159" s="38"/>
    </row>
    <row r="160" spans="1:21" x14ac:dyDescent="0.25">
      <c r="Q160" s="38"/>
    </row>
    <row r="161" spans="17:17" x14ac:dyDescent="0.25">
      <c r="Q161" s="38"/>
    </row>
  </sheetData>
  <mergeCells count="1">
    <mergeCell ref="C4:G4"/>
  </mergeCells>
  <phoneticPr fontId="13" type="noConversion"/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showGridLines="0" workbookViewId="0">
      <selection activeCell="I23" sqref="I23"/>
    </sheetView>
  </sheetViews>
  <sheetFormatPr defaultColWidth="12.6640625" defaultRowHeight="15.75" customHeight="1" x14ac:dyDescent="0.25"/>
  <cols>
    <col min="1" max="1" width="9.21875" customWidth="1"/>
    <col min="2" max="2" width="14.88671875" customWidth="1"/>
    <col min="3" max="3" width="10.109375" customWidth="1"/>
    <col min="4" max="4" width="12.109375" customWidth="1"/>
    <col min="5" max="6" width="7.6640625" customWidth="1"/>
  </cols>
  <sheetData>
    <row r="1" spans="1:5" ht="14.4" x14ac:dyDescent="0.3">
      <c r="A1" s="8" t="s">
        <v>22</v>
      </c>
      <c r="B1" s="8" t="s">
        <v>97</v>
      </c>
      <c r="C1" s="8" t="s">
        <v>98</v>
      </c>
      <c r="D1" s="8" t="s">
        <v>99</v>
      </c>
      <c r="E1" s="11"/>
    </row>
    <row r="2" spans="1:5" ht="13.8" x14ac:dyDescent="0.3">
      <c r="A2" s="9" t="s">
        <v>43</v>
      </c>
      <c r="B2" s="9" t="s">
        <v>100</v>
      </c>
      <c r="C2" s="9" t="s">
        <v>101</v>
      </c>
      <c r="D2" s="9" t="s">
        <v>102</v>
      </c>
    </row>
    <row r="3" spans="1:5" ht="13.8" x14ac:dyDescent="0.3">
      <c r="A3" s="9" t="s">
        <v>31</v>
      </c>
      <c r="B3" s="9" t="s">
        <v>100</v>
      </c>
      <c r="C3" s="9" t="s">
        <v>103</v>
      </c>
      <c r="D3" s="9" t="s">
        <v>104</v>
      </c>
    </row>
    <row r="4" spans="1:5" ht="13.8" x14ac:dyDescent="0.3">
      <c r="A4" s="9" t="s">
        <v>50</v>
      </c>
      <c r="B4" s="9" t="s">
        <v>105</v>
      </c>
      <c r="C4" s="9" t="s">
        <v>106</v>
      </c>
      <c r="D4" s="9" t="s">
        <v>107</v>
      </c>
    </row>
    <row r="5" spans="1:5" ht="13.8" x14ac:dyDescent="0.3">
      <c r="A5" s="9" t="s">
        <v>47</v>
      </c>
      <c r="B5" s="9" t="s">
        <v>108</v>
      </c>
      <c r="C5" s="9" t="s">
        <v>109</v>
      </c>
      <c r="D5" s="9" t="s">
        <v>107</v>
      </c>
    </row>
    <row r="6" spans="1:5" ht="13.8" x14ac:dyDescent="0.3">
      <c r="A6" s="9" t="s">
        <v>36</v>
      </c>
      <c r="B6" s="9" t="s">
        <v>105</v>
      </c>
      <c r="C6" s="9" t="s">
        <v>109</v>
      </c>
      <c r="D6" s="9" t="s">
        <v>107</v>
      </c>
    </row>
    <row r="7" spans="1:5" ht="13.8" x14ac:dyDescent="0.3">
      <c r="A7" s="9" t="s">
        <v>40</v>
      </c>
      <c r="B7" s="9" t="s">
        <v>110</v>
      </c>
      <c r="C7" s="9" t="s">
        <v>111</v>
      </c>
      <c r="D7" s="9" t="s">
        <v>102</v>
      </c>
    </row>
    <row r="8" spans="1:5" ht="13.8" x14ac:dyDescent="0.3">
      <c r="A8" s="9" t="s">
        <v>35</v>
      </c>
      <c r="B8" s="9" t="s">
        <v>110</v>
      </c>
      <c r="C8" s="9" t="s">
        <v>112</v>
      </c>
      <c r="D8" s="9" t="s">
        <v>104</v>
      </c>
    </row>
    <row r="9" spans="1:5" ht="13.8" x14ac:dyDescent="0.3">
      <c r="A9" s="9" t="s">
        <v>32</v>
      </c>
      <c r="B9" s="9" t="s">
        <v>100</v>
      </c>
      <c r="C9" s="9" t="s">
        <v>101</v>
      </c>
      <c r="D9" s="9" t="s">
        <v>104</v>
      </c>
    </row>
    <row r="10" spans="1:5" ht="13.8" x14ac:dyDescent="0.3">
      <c r="A10" s="9" t="s">
        <v>45</v>
      </c>
      <c r="B10" s="9" t="s">
        <v>110</v>
      </c>
      <c r="C10" s="9" t="s">
        <v>111</v>
      </c>
      <c r="D10" s="9" t="s">
        <v>107</v>
      </c>
    </row>
    <row r="11" spans="1:5" ht="13.8" x14ac:dyDescent="0.3">
      <c r="A11" s="9" t="s">
        <v>34</v>
      </c>
      <c r="B11" s="9" t="s">
        <v>108</v>
      </c>
      <c r="C11" s="9" t="s">
        <v>111</v>
      </c>
      <c r="D11" s="9" t="s">
        <v>102</v>
      </c>
    </row>
    <row r="12" spans="1:5" ht="13.8" x14ac:dyDescent="0.3">
      <c r="A12" s="9" t="s">
        <v>39</v>
      </c>
      <c r="B12" s="9" t="s">
        <v>105</v>
      </c>
      <c r="C12" s="9" t="s">
        <v>109</v>
      </c>
      <c r="D12" s="9" t="s">
        <v>102</v>
      </c>
    </row>
    <row r="13" spans="1:5" ht="13.8" x14ac:dyDescent="0.3">
      <c r="A13" s="9" t="s">
        <v>33</v>
      </c>
      <c r="B13" s="9" t="s">
        <v>108</v>
      </c>
      <c r="C13" s="9" t="s">
        <v>112</v>
      </c>
      <c r="D13" s="9" t="s">
        <v>107</v>
      </c>
    </row>
    <row r="14" spans="1:5" ht="13.8" x14ac:dyDescent="0.3">
      <c r="A14" s="9" t="s">
        <v>44</v>
      </c>
      <c r="B14" s="9" t="s">
        <v>105</v>
      </c>
      <c r="C14" s="9" t="s">
        <v>103</v>
      </c>
      <c r="D14" s="9" t="s">
        <v>107</v>
      </c>
    </row>
    <row r="15" spans="1:5" ht="13.8" x14ac:dyDescent="0.3">
      <c r="A15" s="9" t="s">
        <v>46</v>
      </c>
      <c r="B15" s="9" t="s">
        <v>108</v>
      </c>
      <c r="C15" s="9" t="s">
        <v>101</v>
      </c>
      <c r="D15" s="9" t="s">
        <v>102</v>
      </c>
    </row>
    <row r="16" spans="1:5" ht="13.8" x14ac:dyDescent="0.3">
      <c r="A16" s="9" t="s">
        <v>41</v>
      </c>
      <c r="B16" s="9" t="s">
        <v>108</v>
      </c>
      <c r="C16" s="9" t="s">
        <v>109</v>
      </c>
      <c r="D16" s="9" t="s">
        <v>104</v>
      </c>
    </row>
    <row r="17" spans="1:4" ht="13.8" x14ac:dyDescent="0.3">
      <c r="A17" s="9" t="s">
        <v>27</v>
      </c>
      <c r="B17" s="9" t="s">
        <v>105</v>
      </c>
      <c r="C17" s="9" t="s">
        <v>101</v>
      </c>
      <c r="D17" s="9" t="s">
        <v>107</v>
      </c>
    </row>
    <row r="18" spans="1:4" ht="13.8" x14ac:dyDescent="0.3">
      <c r="A18" s="9" t="s">
        <v>28</v>
      </c>
      <c r="B18" s="9" t="s">
        <v>110</v>
      </c>
      <c r="C18" s="9" t="s">
        <v>106</v>
      </c>
      <c r="D18" s="9" t="s">
        <v>104</v>
      </c>
    </row>
    <row r="19" spans="1:4" ht="13.8" x14ac:dyDescent="0.3">
      <c r="A19" s="9" t="s">
        <v>25</v>
      </c>
      <c r="B19" s="9" t="s">
        <v>100</v>
      </c>
      <c r="C19" s="9" t="s">
        <v>113</v>
      </c>
      <c r="D19" s="9" t="s">
        <v>104</v>
      </c>
    </row>
    <row r="20" spans="1:4" ht="13.8" x14ac:dyDescent="0.3">
      <c r="A20" s="9" t="s">
        <v>38</v>
      </c>
      <c r="B20" s="9" t="s">
        <v>100</v>
      </c>
      <c r="C20" s="9" t="s">
        <v>111</v>
      </c>
      <c r="D20" s="9" t="s">
        <v>107</v>
      </c>
    </row>
    <row r="21" spans="1:4" ht="15.75" customHeight="1" x14ac:dyDescent="0.3">
      <c r="A21" s="9" t="s">
        <v>30</v>
      </c>
      <c r="B21" s="9" t="s">
        <v>108</v>
      </c>
      <c r="C21" s="9" t="s">
        <v>109</v>
      </c>
      <c r="D21" s="9" t="s">
        <v>107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1"/>
  <sheetViews>
    <sheetView showGridLines="0" workbookViewId="0">
      <selection activeCell="A2" sqref="A2:B21"/>
    </sheetView>
  </sheetViews>
  <sheetFormatPr defaultColWidth="12.6640625" defaultRowHeight="15.75" customHeight="1" x14ac:dyDescent="0.25"/>
  <sheetData>
    <row r="1" spans="1:2" ht="14.4" x14ac:dyDescent="0.25">
      <c r="A1" s="8" t="s">
        <v>22</v>
      </c>
      <c r="B1" s="8" t="s">
        <v>114</v>
      </c>
    </row>
    <row r="2" spans="1:2" ht="13.8" x14ac:dyDescent="0.3">
      <c r="A2" s="9" t="s">
        <v>43</v>
      </c>
      <c r="B2" s="9" t="s">
        <v>115</v>
      </c>
    </row>
    <row r="3" spans="1:2" ht="13.8" x14ac:dyDescent="0.3">
      <c r="A3" s="9" t="s">
        <v>31</v>
      </c>
      <c r="B3" s="9" t="s">
        <v>116</v>
      </c>
    </row>
    <row r="4" spans="1:2" ht="13.8" x14ac:dyDescent="0.3">
      <c r="A4" s="9" t="s">
        <v>50</v>
      </c>
      <c r="B4" s="9" t="s">
        <v>116</v>
      </c>
    </row>
    <row r="5" spans="1:2" ht="13.8" x14ac:dyDescent="0.3">
      <c r="A5" s="9" t="s">
        <v>47</v>
      </c>
      <c r="B5" s="9" t="s">
        <v>115</v>
      </c>
    </row>
    <row r="6" spans="1:2" ht="13.8" x14ac:dyDescent="0.3">
      <c r="A6" s="9" t="s">
        <v>36</v>
      </c>
      <c r="B6" s="9" t="s">
        <v>115</v>
      </c>
    </row>
    <row r="7" spans="1:2" ht="13.8" x14ac:dyDescent="0.3">
      <c r="A7" s="9" t="s">
        <v>40</v>
      </c>
      <c r="B7" s="9" t="s">
        <v>115</v>
      </c>
    </row>
    <row r="8" spans="1:2" ht="13.8" x14ac:dyDescent="0.3">
      <c r="A8" s="9" t="s">
        <v>35</v>
      </c>
      <c r="B8" s="9" t="s">
        <v>116</v>
      </c>
    </row>
    <row r="9" spans="1:2" ht="13.8" x14ac:dyDescent="0.3">
      <c r="A9" s="9" t="s">
        <v>32</v>
      </c>
      <c r="B9" s="9" t="s">
        <v>115</v>
      </c>
    </row>
    <row r="10" spans="1:2" ht="13.8" x14ac:dyDescent="0.3">
      <c r="A10" s="9" t="s">
        <v>45</v>
      </c>
      <c r="B10" s="9" t="s">
        <v>116</v>
      </c>
    </row>
    <row r="11" spans="1:2" ht="13.8" x14ac:dyDescent="0.3">
      <c r="A11" s="9" t="s">
        <v>34</v>
      </c>
      <c r="B11" s="9" t="s">
        <v>116</v>
      </c>
    </row>
    <row r="12" spans="1:2" ht="13.8" x14ac:dyDescent="0.3">
      <c r="A12" s="9" t="s">
        <v>39</v>
      </c>
      <c r="B12" s="9" t="s">
        <v>115</v>
      </c>
    </row>
    <row r="13" spans="1:2" ht="13.8" x14ac:dyDescent="0.3">
      <c r="A13" s="9" t="s">
        <v>33</v>
      </c>
      <c r="B13" s="9" t="s">
        <v>116</v>
      </c>
    </row>
    <row r="14" spans="1:2" ht="13.8" x14ac:dyDescent="0.3">
      <c r="A14" s="9" t="s">
        <v>44</v>
      </c>
      <c r="B14" s="9" t="s">
        <v>116</v>
      </c>
    </row>
    <row r="15" spans="1:2" ht="13.8" x14ac:dyDescent="0.3">
      <c r="A15" s="9" t="s">
        <v>46</v>
      </c>
      <c r="B15" s="9" t="s">
        <v>115</v>
      </c>
    </row>
    <row r="16" spans="1:2" ht="13.8" x14ac:dyDescent="0.3">
      <c r="A16" s="9" t="s">
        <v>41</v>
      </c>
      <c r="B16" s="9" t="s">
        <v>116</v>
      </c>
    </row>
    <row r="17" spans="1:2" ht="13.8" x14ac:dyDescent="0.3">
      <c r="A17" s="9" t="s">
        <v>27</v>
      </c>
      <c r="B17" s="9" t="s">
        <v>116</v>
      </c>
    </row>
    <row r="18" spans="1:2" ht="13.8" x14ac:dyDescent="0.3">
      <c r="A18" s="9" t="s">
        <v>28</v>
      </c>
      <c r="B18" s="9" t="s">
        <v>116</v>
      </c>
    </row>
    <row r="19" spans="1:2" ht="13.8" x14ac:dyDescent="0.3">
      <c r="A19" s="9" t="s">
        <v>25</v>
      </c>
      <c r="B19" s="9" t="s">
        <v>115</v>
      </c>
    </row>
    <row r="20" spans="1:2" ht="13.8" x14ac:dyDescent="0.3">
      <c r="A20" s="9" t="s">
        <v>38</v>
      </c>
      <c r="B20" s="9" t="s">
        <v>116</v>
      </c>
    </row>
    <row r="21" spans="1:2" ht="15.75" customHeight="1" x14ac:dyDescent="0.3">
      <c r="A21" s="9" t="s">
        <v>30</v>
      </c>
      <c r="B21" s="9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67"/>
  <sheetViews>
    <sheetView showGridLines="0" workbookViewId="0">
      <selection activeCell="I29" sqref="I29"/>
    </sheetView>
  </sheetViews>
  <sheetFormatPr defaultColWidth="12.6640625" defaultRowHeight="15.75" customHeight="1" x14ac:dyDescent="0.25"/>
  <cols>
    <col min="1" max="1" width="12.6640625" style="23"/>
    <col min="2" max="2" width="8.88671875" customWidth="1"/>
    <col min="3" max="3" width="8.77734375" customWidth="1"/>
    <col min="4" max="4" width="9" customWidth="1"/>
    <col min="5" max="6" width="7.6640625" customWidth="1"/>
    <col min="7" max="7" width="11.5546875" customWidth="1"/>
    <col min="8" max="8" width="14.44140625" customWidth="1"/>
    <col min="9" max="9" width="12.6640625" customWidth="1"/>
    <col min="10" max="10" width="18.6640625" customWidth="1"/>
    <col min="11" max="11" width="11.88671875" customWidth="1"/>
    <col min="12" max="20" width="7.6640625" customWidth="1"/>
  </cols>
  <sheetData>
    <row r="1" spans="2:26" ht="14.4" x14ac:dyDescent="0.25">
      <c r="B1" s="30"/>
      <c r="C1" s="8"/>
      <c r="D1" s="8"/>
      <c r="H1" s="12"/>
      <c r="I1" s="12"/>
      <c r="J1" s="12"/>
      <c r="K1" s="12"/>
    </row>
    <row r="2" spans="2:26" ht="13.8" x14ac:dyDescent="0.3">
      <c r="B2" s="31"/>
      <c r="C2" s="9"/>
      <c r="D2" s="9"/>
      <c r="Y2" s="13"/>
      <c r="Z2" s="13"/>
    </row>
    <row r="3" spans="2:26" ht="13.8" x14ac:dyDescent="0.3">
      <c r="B3" s="31"/>
      <c r="C3" s="9"/>
      <c r="D3" s="9"/>
      <c r="F3" s="14" t="s">
        <v>117</v>
      </c>
      <c r="H3" s="15"/>
      <c r="I3" s="15"/>
      <c r="J3" s="16"/>
      <c r="K3" s="16"/>
    </row>
    <row r="4" spans="2:26" ht="13.8" x14ac:dyDescent="0.3">
      <c r="B4" s="31"/>
      <c r="C4" s="9"/>
      <c r="D4" s="9"/>
      <c r="F4" s="13" t="s">
        <v>118</v>
      </c>
      <c r="G4" s="13" t="s">
        <v>119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2:26" ht="13.8" x14ac:dyDescent="0.3">
      <c r="B5" s="31"/>
      <c r="C5" s="9"/>
      <c r="D5" s="9"/>
      <c r="F5" s="14"/>
      <c r="H5" s="15"/>
      <c r="I5" s="15"/>
      <c r="J5" s="16"/>
      <c r="K5" s="16"/>
    </row>
    <row r="6" spans="2:26" ht="13.8" x14ac:dyDescent="0.3">
      <c r="B6" s="31"/>
      <c r="C6" s="9"/>
      <c r="D6" s="9"/>
      <c r="H6" s="15"/>
      <c r="I6" s="15"/>
      <c r="J6" s="16"/>
      <c r="K6" s="16"/>
    </row>
    <row r="7" spans="2:26" ht="13.8" x14ac:dyDescent="0.3">
      <c r="B7" s="31"/>
      <c r="C7" s="9"/>
      <c r="D7" s="9"/>
      <c r="H7" s="15"/>
      <c r="I7" s="15"/>
      <c r="J7" s="16"/>
      <c r="K7" s="16"/>
    </row>
    <row r="8" spans="2:26" ht="13.8" x14ac:dyDescent="0.3">
      <c r="B8" s="31"/>
      <c r="C8" s="9"/>
      <c r="D8" s="9"/>
      <c r="H8" s="15" t="s">
        <v>594</v>
      </c>
      <c r="I8" s="15"/>
      <c r="J8" s="16"/>
      <c r="K8" s="16"/>
    </row>
    <row r="9" spans="2:26" ht="13.8" x14ac:dyDescent="0.3">
      <c r="B9" s="31"/>
      <c r="C9" s="9"/>
      <c r="D9" s="9"/>
      <c r="G9" s="23" t="s">
        <v>135</v>
      </c>
      <c r="H9" s="22">
        <v>10</v>
      </c>
      <c r="I9" s="15"/>
      <c r="J9" s="16"/>
      <c r="K9" s="16"/>
    </row>
    <row r="10" spans="2:26" ht="13.8" x14ac:dyDescent="0.3">
      <c r="B10" s="31"/>
      <c r="C10" s="9"/>
      <c r="D10" s="9"/>
      <c r="G10" s="23" t="s">
        <v>136</v>
      </c>
      <c r="H10" s="22">
        <v>15</v>
      </c>
      <c r="I10" s="15"/>
      <c r="J10" s="16"/>
      <c r="K10" s="16"/>
    </row>
    <row r="11" spans="2:26" ht="13.8" x14ac:dyDescent="0.3">
      <c r="B11" s="31"/>
      <c r="C11" s="9"/>
      <c r="D11" s="9"/>
      <c r="G11" s="23" t="s">
        <v>137</v>
      </c>
      <c r="H11" s="22">
        <v>20</v>
      </c>
      <c r="I11" s="15"/>
      <c r="J11" s="16"/>
      <c r="K11" s="16"/>
    </row>
    <row r="12" spans="2:26" ht="13.8" x14ac:dyDescent="0.3">
      <c r="B12" s="31"/>
      <c r="C12" s="9"/>
      <c r="D12" s="9"/>
      <c r="G12" s="23" t="s">
        <v>138</v>
      </c>
      <c r="H12" s="22">
        <v>4</v>
      </c>
      <c r="I12" s="15"/>
      <c r="J12" s="16"/>
      <c r="K12" s="16"/>
    </row>
    <row r="13" spans="2:26" ht="13.8" x14ac:dyDescent="0.3">
      <c r="B13" s="31"/>
      <c r="C13" s="9"/>
      <c r="D13" s="9"/>
      <c r="G13" s="23" t="s">
        <v>139</v>
      </c>
      <c r="H13" s="22">
        <v>11</v>
      </c>
      <c r="I13" s="15"/>
      <c r="J13" s="16"/>
      <c r="K13" s="16"/>
    </row>
    <row r="14" spans="2:26" ht="13.8" x14ac:dyDescent="0.3">
      <c r="B14" s="31"/>
      <c r="C14" s="9"/>
      <c r="D14" s="9"/>
      <c r="G14" s="23" t="s">
        <v>140</v>
      </c>
      <c r="H14" s="22">
        <v>8</v>
      </c>
      <c r="I14" s="15"/>
      <c r="J14" s="16"/>
      <c r="K14" s="16"/>
    </row>
    <row r="15" spans="2:26" ht="13.8" x14ac:dyDescent="0.3">
      <c r="B15" s="31"/>
      <c r="C15" s="9"/>
      <c r="D15" s="9"/>
      <c r="G15" s="23" t="s">
        <v>141</v>
      </c>
      <c r="H15" s="22">
        <v>11</v>
      </c>
      <c r="I15" s="15"/>
      <c r="J15" s="16"/>
      <c r="K15" s="16"/>
    </row>
    <row r="16" spans="2:26" ht="13.8" x14ac:dyDescent="0.3">
      <c r="B16" s="31"/>
      <c r="C16" s="9"/>
      <c r="D16" s="9"/>
      <c r="G16" s="23" t="s">
        <v>142</v>
      </c>
      <c r="H16" s="22">
        <v>7</v>
      </c>
      <c r="I16" s="15"/>
      <c r="J16" s="16"/>
      <c r="K16" s="16"/>
    </row>
    <row r="17" spans="2:11" ht="13.8" x14ac:dyDescent="0.3">
      <c r="B17" s="31"/>
      <c r="C17" s="9"/>
      <c r="D17" s="9"/>
      <c r="G17" s="23" t="s">
        <v>143</v>
      </c>
      <c r="H17" s="22">
        <v>17</v>
      </c>
      <c r="I17" s="15"/>
      <c r="J17" s="16"/>
      <c r="K17" s="16"/>
    </row>
    <row r="18" spans="2:11" ht="13.8" x14ac:dyDescent="0.3">
      <c r="B18" s="31"/>
      <c r="C18" s="9"/>
      <c r="D18" s="9"/>
      <c r="G18" s="23" t="s">
        <v>144</v>
      </c>
      <c r="H18" s="22">
        <v>16</v>
      </c>
      <c r="I18" s="15"/>
      <c r="J18" s="16"/>
      <c r="K18" s="16"/>
    </row>
    <row r="19" spans="2:11" ht="13.8" x14ac:dyDescent="0.3">
      <c r="B19" s="31"/>
      <c r="C19" s="9"/>
      <c r="D19" s="9"/>
      <c r="G19" s="23" t="s">
        <v>145</v>
      </c>
      <c r="H19" s="22">
        <v>7</v>
      </c>
      <c r="I19" s="15"/>
      <c r="J19" s="16"/>
      <c r="K19" s="16"/>
    </row>
    <row r="20" spans="2:11" ht="13.8" x14ac:dyDescent="0.3">
      <c r="B20" s="31"/>
      <c r="C20" s="9"/>
      <c r="D20" s="9"/>
      <c r="G20" s="23" t="s">
        <v>146</v>
      </c>
      <c r="H20" s="22">
        <v>10</v>
      </c>
      <c r="I20" s="15"/>
      <c r="J20" s="16"/>
      <c r="K20" s="16"/>
    </row>
    <row r="21" spans="2:11" ht="15.75" customHeight="1" x14ac:dyDescent="0.3">
      <c r="B21" s="31"/>
      <c r="C21" s="9"/>
      <c r="D21" s="9"/>
      <c r="G21" s="23" t="s">
        <v>147</v>
      </c>
      <c r="H21" s="22">
        <v>13</v>
      </c>
      <c r="I21" s="15"/>
      <c r="J21" s="16"/>
      <c r="K21" s="16"/>
    </row>
    <row r="22" spans="2:11" ht="15.75" customHeight="1" x14ac:dyDescent="0.3">
      <c r="B22" s="31"/>
      <c r="C22" s="9"/>
      <c r="D22" s="9"/>
      <c r="G22" s="23" t="s">
        <v>148</v>
      </c>
      <c r="H22" s="22">
        <v>16</v>
      </c>
      <c r="I22" s="15"/>
      <c r="J22" s="16"/>
      <c r="K22" s="16"/>
    </row>
    <row r="23" spans="2:11" ht="15.75" customHeight="1" x14ac:dyDescent="0.3">
      <c r="B23" s="31"/>
      <c r="C23" s="9"/>
      <c r="D23" s="9"/>
      <c r="G23" s="23" t="s">
        <v>149</v>
      </c>
      <c r="H23" s="22">
        <v>10</v>
      </c>
      <c r="I23" s="15"/>
      <c r="J23" s="16"/>
      <c r="K23" s="16"/>
    </row>
    <row r="24" spans="2:11" ht="15.75" customHeight="1" x14ac:dyDescent="0.3">
      <c r="B24" s="31"/>
      <c r="C24" s="9"/>
      <c r="D24" s="9"/>
      <c r="G24" s="23" t="s">
        <v>150</v>
      </c>
      <c r="H24" s="22">
        <v>4</v>
      </c>
      <c r="I24" s="15"/>
      <c r="J24" s="16"/>
      <c r="K24" s="16"/>
    </row>
    <row r="25" spans="2:11" ht="15.75" customHeight="1" x14ac:dyDescent="0.3">
      <c r="B25" s="31"/>
      <c r="C25" s="9"/>
      <c r="D25" s="9"/>
      <c r="G25" s="23" t="s">
        <v>151</v>
      </c>
      <c r="H25" s="22">
        <v>17</v>
      </c>
      <c r="I25" s="15"/>
      <c r="J25" s="16"/>
      <c r="K25" s="16"/>
    </row>
    <row r="26" spans="2:11" ht="15.75" customHeight="1" x14ac:dyDescent="0.3">
      <c r="B26" s="31"/>
      <c r="C26" s="9"/>
      <c r="D26" s="9"/>
      <c r="G26" s="23" t="s">
        <v>152</v>
      </c>
      <c r="H26" s="22">
        <v>17</v>
      </c>
      <c r="I26" s="15"/>
      <c r="J26" s="16"/>
      <c r="K26" s="16"/>
    </row>
    <row r="27" spans="2:11" ht="15.75" customHeight="1" x14ac:dyDescent="0.3">
      <c r="B27" s="31"/>
      <c r="C27" s="9"/>
      <c r="D27" s="9"/>
      <c r="G27" s="23" t="s">
        <v>153</v>
      </c>
      <c r="H27" s="22">
        <v>13</v>
      </c>
      <c r="I27" s="15"/>
      <c r="J27" s="16"/>
      <c r="K27" s="16"/>
    </row>
    <row r="28" spans="2:11" ht="15.75" customHeight="1" x14ac:dyDescent="0.3">
      <c r="B28" s="31"/>
      <c r="C28" s="9"/>
      <c r="D28" s="9"/>
      <c r="G28" s="23" t="s">
        <v>154</v>
      </c>
      <c r="H28" s="22">
        <v>5</v>
      </c>
      <c r="I28" s="15"/>
      <c r="J28" s="16"/>
      <c r="K28" s="16"/>
    </row>
    <row r="29" spans="2:11" ht="15.75" customHeight="1" x14ac:dyDescent="0.3">
      <c r="B29" s="31"/>
      <c r="C29" s="9"/>
      <c r="D29" s="9"/>
      <c r="G29" s="23" t="s">
        <v>155</v>
      </c>
      <c r="H29" s="22">
        <v>15</v>
      </c>
      <c r="I29" s="15"/>
      <c r="J29" s="16"/>
      <c r="K29" s="16"/>
    </row>
    <row r="30" spans="2:11" ht="15.75" customHeight="1" x14ac:dyDescent="0.3">
      <c r="B30" s="31"/>
      <c r="C30" s="9"/>
      <c r="D30" s="9"/>
      <c r="G30" s="23" t="s">
        <v>156</v>
      </c>
      <c r="H30" s="22">
        <v>16</v>
      </c>
      <c r="I30" s="15"/>
      <c r="J30" s="16"/>
      <c r="K30" s="16"/>
    </row>
    <row r="31" spans="2:11" ht="15.75" customHeight="1" x14ac:dyDescent="0.3">
      <c r="B31" s="31"/>
      <c r="C31" s="9"/>
      <c r="D31" s="9"/>
      <c r="G31" s="23" t="s">
        <v>157</v>
      </c>
      <c r="H31" s="22">
        <v>12</v>
      </c>
      <c r="I31" s="15"/>
      <c r="J31" s="16"/>
      <c r="K31" s="16"/>
    </row>
    <row r="32" spans="2:11" ht="15.75" customHeight="1" x14ac:dyDescent="0.3">
      <c r="B32" s="31"/>
      <c r="C32" s="9"/>
      <c r="D32" s="9"/>
      <c r="G32" s="23" t="s">
        <v>158</v>
      </c>
      <c r="H32" s="22">
        <v>5</v>
      </c>
      <c r="I32" s="15"/>
      <c r="J32" s="16"/>
      <c r="K32" s="16"/>
    </row>
    <row r="33" spans="2:11" ht="15.75" customHeight="1" x14ac:dyDescent="0.3">
      <c r="B33" s="31"/>
      <c r="C33" s="9"/>
      <c r="D33" s="9"/>
      <c r="G33" s="23" t="s">
        <v>159</v>
      </c>
      <c r="H33" s="22">
        <v>7</v>
      </c>
      <c r="I33" s="15"/>
      <c r="J33" s="16"/>
      <c r="K33" s="16"/>
    </row>
    <row r="34" spans="2:11" ht="15.75" customHeight="1" x14ac:dyDescent="0.3">
      <c r="B34" s="31"/>
      <c r="C34" s="9"/>
      <c r="D34" s="9"/>
      <c r="G34" s="23" t="s">
        <v>160</v>
      </c>
      <c r="H34" s="22">
        <v>19</v>
      </c>
      <c r="I34" s="15"/>
      <c r="J34" s="16"/>
      <c r="K34" s="16"/>
    </row>
    <row r="35" spans="2:11" ht="15.75" customHeight="1" x14ac:dyDescent="0.3">
      <c r="B35" s="31"/>
      <c r="C35" s="9"/>
      <c r="D35" s="9"/>
      <c r="G35" s="23" t="s">
        <v>161</v>
      </c>
      <c r="H35" s="22">
        <v>18</v>
      </c>
      <c r="I35" s="15"/>
      <c r="J35" s="16"/>
      <c r="K35" s="16"/>
    </row>
    <row r="36" spans="2:11" ht="15.75" customHeight="1" x14ac:dyDescent="0.3">
      <c r="B36" s="31"/>
      <c r="C36" s="9"/>
      <c r="D36" s="9"/>
      <c r="G36" s="23" t="s">
        <v>162</v>
      </c>
      <c r="H36" s="22">
        <v>16</v>
      </c>
      <c r="I36" s="15"/>
      <c r="J36" s="16"/>
      <c r="K36" s="16"/>
    </row>
    <row r="37" spans="2:11" ht="15.75" customHeight="1" x14ac:dyDescent="0.3">
      <c r="B37" s="31"/>
      <c r="C37" s="9"/>
      <c r="D37" s="9"/>
      <c r="G37" s="23" t="s">
        <v>163</v>
      </c>
      <c r="H37" s="22">
        <v>6</v>
      </c>
      <c r="I37" s="15"/>
      <c r="J37" s="16"/>
      <c r="K37" s="16"/>
    </row>
    <row r="38" spans="2:11" ht="15.75" customHeight="1" x14ac:dyDescent="0.3">
      <c r="B38" s="31"/>
      <c r="C38" s="9"/>
      <c r="D38" s="9"/>
      <c r="G38" s="23" t="s">
        <v>164</v>
      </c>
      <c r="H38" s="22">
        <v>6</v>
      </c>
      <c r="I38" s="15"/>
      <c r="J38" s="16"/>
      <c r="K38" s="16"/>
    </row>
    <row r="39" spans="2:11" ht="15.75" customHeight="1" x14ac:dyDescent="0.3">
      <c r="B39" s="31"/>
      <c r="C39" s="9"/>
      <c r="D39" s="9"/>
      <c r="G39" s="23" t="s">
        <v>165</v>
      </c>
      <c r="H39" s="22">
        <v>12</v>
      </c>
      <c r="I39" s="15"/>
      <c r="J39" s="16"/>
      <c r="K39" s="16"/>
    </row>
    <row r="40" spans="2:11" ht="15.75" customHeight="1" x14ac:dyDescent="0.3">
      <c r="B40" s="31"/>
      <c r="C40" s="9"/>
      <c r="D40" s="9"/>
      <c r="G40" s="23" t="s">
        <v>166</v>
      </c>
      <c r="H40" s="22">
        <v>7</v>
      </c>
      <c r="I40" s="15"/>
      <c r="J40" s="16"/>
      <c r="K40" s="16"/>
    </row>
    <row r="41" spans="2:11" ht="15.75" customHeight="1" x14ac:dyDescent="0.3">
      <c r="B41" s="31"/>
      <c r="C41" s="9"/>
      <c r="D41" s="9"/>
      <c r="G41" s="23" t="s">
        <v>167</v>
      </c>
      <c r="H41" s="22">
        <v>11</v>
      </c>
      <c r="I41" s="15"/>
      <c r="J41" s="16"/>
      <c r="K41" s="16"/>
    </row>
    <row r="42" spans="2:11" ht="15.75" customHeight="1" x14ac:dyDescent="0.3">
      <c r="B42" s="31"/>
      <c r="C42" s="9"/>
      <c r="D42" s="9"/>
      <c r="G42" s="23" t="s">
        <v>168</v>
      </c>
      <c r="H42" s="22">
        <v>16</v>
      </c>
      <c r="I42" s="15"/>
      <c r="J42" s="16"/>
      <c r="K42" s="16"/>
    </row>
    <row r="43" spans="2:11" ht="15.75" customHeight="1" x14ac:dyDescent="0.3">
      <c r="B43" s="31"/>
      <c r="C43" s="9"/>
      <c r="D43" s="9"/>
      <c r="G43" s="23" t="s">
        <v>169</v>
      </c>
      <c r="H43" s="22">
        <v>11</v>
      </c>
      <c r="I43" s="15"/>
      <c r="J43" s="16"/>
      <c r="K43" s="16"/>
    </row>
    <row r="44" spans="2:11" ht="15.75" customHeight="1" x14ac:dyDescent="0.3">
      <c r="B44" s="31"/>
      <c r="C44" s="9"/>
      <c r="D44" s="9"/>
      <c r="G44" s="23" t="s">
        <v>170</v>
      </c>
      <c r="H44" s="22">
        <v>10</v>
      </c>
      <c r="I44" s="15"/>
      <c r="J44" s="16"/>
      <c r="K44" s="16"/>
    </row>
    <row r="45" spans="2:11" ht="15.75" customHeight="1" x14ac:dyDescent="0.3">
      <c r="B45" s="31"/>
      <c r="C45" s="9"/>
      <c r="D45" s="9"/>
      <c r="G45" s="23" t="s">
        <v>171</v>
      </c>
      <c r="H45" s="22">
        <v>4</v>
      </c>
      <c r="I45" s="15"/>
      <c r="J45" s="16"/>
      <c r="K45" s="16"/>
    </row>
    <row r="46" spans="2:11" ht="15.75" customHeight="1" x14ac:dyDescent="0.3">
      <c r="B46" s="31"/>
      <c r="C46" s="9"/>
      <c r="D46" s="9"/>
      <c r="G46" s="23" t="s">
        <v>172</v>
      </c>
      <c r="H46" s="22">
        <v>8</v>
      </c>
      <c r="I46" s="15"/>
      <c r="J46" s="16"/>
      <c r="K46" s="16"/>
    </row>
    <row r="47" spans="2:11" ht="15.75" customHeight="1" x14ac:dyDescent="0.3">
      <c r="B47" s="31"/>
      <c r="C47" s="9"/>
      <c r="D47" s="9"/>
      <c r="G47" s="23" t="s">
        <v>173</v>
      </c>
      <c r="H47" s="22">
        <v>9</v>
      </c>
      <c r="I47" s="15"/>
      <c r="J47" s="16"/>
      <c r="K47" s="16"/>
    </row>
    <row r="48" spans="2:11" ht="15.75" customHeight="1" x14ac:dyDescent="0.3">
      <c r="B48" s="31"/>
      <c r="C48" s="9"/>
      <c r="D48" s="9"/>
      <c r="G48" s="23" t="s">
        <v>174</v>
      </c>
      <c r="H48" s="22">
        <v>17</v>
      </c>
      <c r="I48" s="15"/>
      <c r="J48" s="16"/>
      <c r="K48" s="16"/>
    </row>
    <row r="49" spans="2:11" ht="15.75" customHeight="1" x14ac:dyDescent="0.3">
      <c r="B49" s="31"/>
      <c r="C49" s="9"/>
      <c r="D49" s="9"/>
      <c r="G49" s="23" t="s">
        <v>175</v>
      </c>
      <c r="H49" s="22">
        <v>10</v>
      </c>
      <c r="I49" s="15"/>
      <c r="J49" s="16"/>
      <c r="K49" s="16"/>
    </row>
    <row r="50" spans="2:11" ht="15.75" customHeight="1" x14ac:dyDescent="0.3">
      <c r="B50" s="31"/>
      <c r="C50" s="9"/>
      <c r="D50" s="9"/>
      <c r="G50" s="23" t="s">
        <v>176</v>
      </c>
      <c r="H50" s="22">
        <v>4</v>
      </c>
      <c r="I50" s="15"/>
      <c r="J50" s="16"/>
      <c r="K50" s="16"/>
    </row>
    <row r="51" spans="2:11" ht="15.75" customHeight="1" x14ac:dyDescent="0.3">
      <c r="B51" s="31"/>
      <c r="C51" s="9"/>
      <c r="D51" s="9"/>
      <c r="G51" s="23" t="s">
        <v>177</v>
      </c>
      <c r="H51" s="22">
        <v>10</v>
      </c>
      <c r="I51" s="15"/>
      <c r="J51" s="16"/>
      <c r="K51" s="16"/>
    </row>
    <row r="52" spans="2:11" ht="15.75" customHeight="1" x14ac:dyDescent="0.3">
      <c r="B52" s="31"/>
      <c r="C52" s="9"/>
      <c r="D52" s="9"/>
      <c r="G52" s="23" t="s">
        <v>178</v>
      </c>
      <c r="H52" s="22">
        <v>16</v>
      </c>
      <c r="I52" s="15"/>
      <c r="J52" s="16"/>
      <c r="K52" s="16"/>
    </row>
    <row r="53" spans="2:11" ht="15.75" customHeight="1" x14ac:dyDescent="0.3">
      <c r="B53" s="31"/>
      <c r="C53" s="9"/>
      <c r="D53" s="9"/>
      <c r="G53" s="23" t="s">
        <v>179</v>
      </c>
      <c r="H53" s="22">
        <v>17</v>
      </c>
      <c r="I53" s="15"/>
      <c r="J53" s="16"/>
      <c r="K53" s="16"/>
    </row>
    <row r="54" spans="2:11" ht="15.75" customHeight="1" x14ac:dyDescent="0.3">
      <c r="B54" s="31"/>
      <c r="C54" s="9"/>
      <c r="D54" s="9"/>
      <c r="G54" s="23" t="s">
        <v>180</v>
      </c>
      <c r="H54" s="22">
        <v>11</v>
      </c>
      <c r="I54" s="15"/>
      <c r="J54" s="16"/>
      <c r="K54" s="16"/>
    </row>
    <row r="55" spans="2:11" ht="15.75" customHeight="1" x14ac:dyDescent="0.3">
      <c r="B55" s="31"/>
      <c r="C55" s="9"/>
      <c r="D55" s="9"/>
      <c r="G55" s="23" t="s">
        <v>181</v>
      </c>
      <c r="H55" s="22">
        <v>9</v>
      </c>
      <c r="I55" s="15"/>
      <c r="J55" s="16"/>
      <c r="K55" s="16"/>
    </row>
    <row r="56" spans="2:11" ht="15.75" customHeight="1" x14ac:dyDescent="0.3">
      <c r="B56" s="31"/>
      <c r="C56" s="9"/>
      <c r="D56" s="9"/>
      <c r="G56" s="23" t="s">
        <v>182</v>
      </c>
      <c r="H56" s="22">
        <v>19</v>
      </c>
      <c r="I56" s="15"/>
      <c r="J56" s="16"/>
      <c r="K56" s="16"/>
    </row>
    <row r="57" spans="2:11" ht="15.75" customHeight="1" x14ac:dyDescent="0.3">
      <c r="B57" s="31"/>
      <c r="C57" s="9"/>
      <c r="D57" s="9"/>
      <c r="G57" s="23" t="s">
        <v>183</v>
      </c>
      <c r="H57" s="22">
        <v>17</v>
      </c>
      <c r="I57" s="15"/>
      <c r="J57" s="16"/>
      <c r="K57" s="16"/>
    </row>
    <row r="58" spans="2:11" ht="15.75" customHeight="1" x14ac:dyDescent="0.3">
      <c r="B58" s="31"/>
      <c r="C58" s="9"/>
      <c r="D58" s="9"/>
      <c r="G58" s="23" t="s">
        <v>184</v>
      </c>
      <c r="H58" s="22">
        <v>14</v>
      </c>
      <c r="I58" s="15"/>
      <c r="J58" s="16"/>
      <c r="K58" s="16"/>
    </row>
    <row r="59" spans="2:11" ht="15.75" customHeight="1" x14ac:dyDescent="0.3">
      <c r="B59" s="31"/>
      <c r="C59" s="9"/>
      <c r="D59" s="9"/>
      <c r="G59" s="23" t="s">
        <v>185</v>
      </c>
      <c r="H59" s="22">
        <v>12</v>
      </c>
      <c r="I59" s="15"/>
      <c r="J59" s="16"/>
      <c r="K59" s="16"/>
    </row>
    <row r="60" spans="2:11" ht="15.75" customHeight="1" x14ac:dyDescent="0.3">
      <c r="B60" s="31"/>
      <c r="C60" s="9"/>
      <c r="D60" s="9"/>
      <c r="G60" s="23" t="s">
        <v>186</v>
      </c>
      <c r="H60" s="22">
        <v>11</v>
      </c>
      <c r="I60" s="15"/>
      <c r="J60" s="16"/>
      <c r="K60" s="16"/>
    </row>
    <row r="61" spans="2:11" ht="15.75" customHeight="1" x14ac:dyDescent="0.3">
      <c r="B61" s="31"/>
      <c r="C61" s="9"/>
      <c r="D61" s="9"/>
      <c r="G61" s="23" t="s">
        <v>187</v>
      </c>
      <c r="H61" s="22">
        <v>5</v>
      </c>
      <c r="I61" s="15"/>
      <c r="J61" s="16"/>
      <c r="K61" s="16"/>
    </row>
    <row r="62" spans="2:11" ht="15.75" customHeight="1" x14ac:dyDescent="0.3">
      <c r="B62" s="31"/>
      <c r="C62" s="9"/>
      <c r="D62" s="9"/>
      <c r="G62" s="23" t="s">
        <v>188</v>
      </c>
      <c r="H62" s="22">
        <v>8</v>
      </c>
      <c r="I62" s="15"/>
      <c r="J62" s="16"/>
      <c r="K62" s="16"/>
    </row>
    <row r="63" spans="2:11" ht="15.75" customHeight="1" x14ac:dyDescent="0.3">
      <c r="B63" s="31"/>
      <c r="C63" s="9"/>
      <c r="D63" s="9"/>
      <c r="G63" s="23" t="s">
        <v>189</v>
      </c>
      <c r="H63" s="22">
        <v>8</v>
      </c>
      <c r="I63" s="15"/>
      <c r="J63" s="16"/>
      <c r="K63" s="16"/>
    </row>
    <row r="64" spans="2:11" ht="15.75" customHeight="1" x14ac:dyDescent="0.3">
      <c r="B64" s="31"/>
      <c r="C64" s="9"/>
      <c r="D64" s="9"/>
      <c r="G64" s="23" t="s">
        <v>190</v>
      </c>
      <c r="H64" s="22">
        <v>18</v>
      </c>
      <c r="I64" s="15"/>
      <c r="J64" s="16"/>
      <c r="K64" s="16"/>
    </row>
    <row r="65" spans="2:11" ht="15.75" customHeight="1" x14ac:dyDescent="0.3">
      <c r="B65" s="31"/>
      <c r="C65" s="9"/>
      <c r="D65" s="9"/>
      <c r="G65" s="23" t="s">
        <v>191</v>
      </c>
      <c r="H65" s="22">
        <v>5</v>
      </c>
      <c r="I65" s="15"/>
      <c r="J65" s="16"/>
      <c r="K65" s="16"/>
    </row>
    <row r="66" spans="2:11" ht="15.75" customHeight="1" x14ac:dyDescent="0.3">
      <c r="B66" s="31"/>
      <c r="C66" s="9"/>
      <c r="D66" s="9"/>
      <c r="G66" s="23" t="s">
        <v>192</v>
      </c>
      <c r="H66" s="22">
        <v>5</v>
      </c>
      <c r="I66" s="15"/>
      <c r="J66" s="16"/>
      <c r="K66" s="16"/>
    </row>
    <row r="67" spans="2:11" ht="15.75" customHeight="1" x14ac:dyDescent="0.3">
      <c r="B67" s="31"/>
      <c r="C67" s="9"/>
      <c r="D67" s="9"/>
      <c r="G67" s="23" t="s">
        <v>193</v>
      </c>
      <c r="H67" s="22">
        <v>16</v>
      </c>
      <c r="I67" s="15"/>
      <c r="J67" s="16"/>
      <c r="K67" s="16"/>
    </row>
    <row r="68" spans="2:11" ht="15.75" customHeight="1" x14ac:dyDescent="0.3">
      <c r="B68" s="31"/>
      <c r="C68" s="9"/>
      <c r="D68" s="9"/>
      <c r="G68" s="23" t="s">
        <v>194</v>
      </c>
      <c r="H68" s="22">
        <v>12</v>
      </c>
      <c r="I68" s="15"/>
      <c r="J68" s="16"/>
      <c r="K68" s="16"/>
    </row>
    <row r="69" spans="2:11" ht="15.75" customHeight="1" x14ac:dyDescent="0.3">
      <c r="B69" s="31"/>
      <c r="C69" s="9"/>
      <c r="D69" s="9"/>
      <c r="G69" s="23" t="s">
        <v>195</v>
      </c>
      <c r="H69" s="22">
        <v>17</v>
      </c>
      <c r="I69" s="15"/>
      <c r="J69" s="16"/>
      <c r="K69" s="16"/>
    </row>
    <row r="70" spans="2:11" ht="15.75" customHeight="1" x14ac:dyDescent="0.3">
      <c r="B70" s="31"/>
      <c r="C70" s="9"/>
      <c r="D70" s="9"/>
      <c r="G70" s="23" t="s">
        <v>196</v>
      </c>
      <c r="H70" s="22">
        <v>14</v>
      </c>
      <c r="I70" s="15"/>
      <c r="J70" s="16"/>
      <c r="K70" s="16"/>
    </row>
    <row r="71" spans="2:11" ht="15.75" customHeight="1" x14ac:dyDescent="0.3">
      <c r="B71" s="31"/>
      <c r="C71" s="9"/>
      <c r="D71" s="9"/>
      <c r="G71" s="23" t="s">
        <v>197</v>
      </c>
      <c r="H71" s="22">
        <v>20</v>
      </c>
      <c r="I71" s="15"/>
      <c r="J71" s="16"/>
      <c r="K71" s="16"/>
    </row>
    <row r="72" spans="2:11" ht="15.75" customHeight="1" x14ac:dyDescent="0.3">
      <c r="B72" s="31"/>
      <c r="C72" s="9"/>
      <c r="D72" s="9"/>
      <c r="G72" s="23" t="s">
        <v>198</v>
      </c>
      <c r="H72" s="22">
        <v>4</v>
      </c>
      <c r="I72" s="15"/>
      <c r="J72" s="16"/>
      <c r="K72" s="16"/>
    </row>
    <row r="73" spans="2:11" ht="15.75" customHeight="1" x14ac:dyDescent="0.3">
      <c r="B73" s="31"/>
      <c r="C73" s="9"/>
      <c r="D73" s="9"/>
      <c r="G73" s="23" t="s">
        <v>199</v>
      </c>
      <c r="H73" s="22">
        <v>5</v>
      </c>
      <c r="I73" s="15"/>
      <c r="J73" s="16"/>
      <c r="K73" s="16"/>
    </row>
    <row r="74" spans="2:11" ht="15.75" customHeight="1" x14ac:dyDescent="0.3">
      <c r="B74" s="31"/>
      <c r="C74" s="9"/>
      <c r="D74" s="9"/>
      <c r="G74" s="23" t="s">
        <v>200</v>
      </c>
      <c r="H74" s="22">
        <v>13</v>
      </c>
      <c r="I74" s="15"/>
      <c r="J74" s="16"/>
      <c r="K74" s="16"/>
    </row>
    <row r="75" spans="2:11" ht="15.75" customHeight="1" x14ac:dyDescent="0.3">
      <c r="B75" s="31"/>
      <c r="C75" s="9"/>
      <c r="D75" s="9"/>
      <c r="G75" s="23" t="s">
        <v>201</v>
      </c>
      <c r="H75" s="22">
        <v>6</v>
      </c>
      <c r="I75" s="15"/>
      <c r="J75" s="16"/>
      <c r="K75" s="16"/>
    </row>
    <row r="76" spans="2:11" ht="15.75" customHeight="1" x14ac:dyDescent="0.3">
      <c r="B76" s="31"/>
      <c r="C76" s="9"/>
      <c r="D76" s="9"/>
      <c r="G76" s="23" t="s">
        <v>202</v>
      </c>
      <c r="H76" s="22">
        <v>18</v>
      </c>
      <c r="I76" s="15"/>
      <c r="J76" s="16"/>
      <c r="K76" s="16"/>
    </row>
    <row r="77" spans="2:11" ht="15.75" customHeight="1" x14ac:dyDescent="0.3">
      <c r="B77" s="31"/>
      <c r="C77" s="9"/>
      <c r="D77" s="9"/>
      <c r="G77" s="23" t="s">
        <v>203</v>
      </c>
      <c r="H77" s="22">
        <v>16</v>
      </c>
      <c r="I77" s="15"/>
      <c r="J77" s="16"/>
      <c r="K77" s="16"/>
    </row>
    <row r="78" spans="2:11" ht="15.75" customHeight="1" x14ac:dyDescent="0.3">
      <c r="B78" s="31"/>
      <c r="C78" s="9"/>
      <c r="D78" s="9"/>
      <c r="G78" s="23" t="s">
        <v>204</v>
      </c>
      <c r="H78" s="22">
        <v>8</v>
      </c>
      <c r="I78" s="15"/>
      <c r="J78" s="16"/>
      <c r="K78" s="16"/>
    </row>
    <row r="79" spans="2:11" ht="15.75" customHeight="1" x14ac:dyDescent="0.3">
      <c r="B79" s="31"/>
      <c r="C79" s="9"/>
      <c r="D79" s="9"/>
      <c r="G79" s="23" t="s">
        <v>205</v>
      </c>
      <c r="H79" s="22">
        <v>5</v>
      </c>
      <c r="I79" s="15"/>
      <c r="J79" s="16"/>
      <c r="K79" s="16"/>
    </row>
    <row r="80" spans="2:11" ht="15.75" customHeight="1" x14ac:dyDescent="0.3">
      <c r="B80" s="31"/>
      <c r="C80" s="9"/>
      <c r="D80" s="9"/>
      <c r="G80" s="23" t="s">
        <v>206</v>
      </c>
      <c r="H80" s="22">
        <v>8</v>
      </c>
      <c r="I80" s="15"/>
      <c r="J80" s="16"/>
      <c r="K80" s="16"/>
    </row>
    <row r="81" spans="2:11" ht="15.75" customHeight="1" x14ac:dyDescent="0.3">
      <c r="B81" s="31"/>
      <c r="C81" s="9"/>
      <c r="D81" s="9"/>
      <c r="G81" s="23" t="s">
        <v>207</v>
      </c>
      <c r="H81" s="22">
        <v>15</v>
      </c>
      <c r="I81" s="15"/>
      <c r="J81" s="16"/>
      <c r="K81" s="16"/>
    </row>
    <row r="82" spans="2:11" ht="15.75" customHeight="1" x14ac:dyDescent="0.3">
      <c r="B82" s="31"/>
      <c r="C82" s="9"/>
      <c r="D82" s="9"/>
      <c r="G82" s="23" t="s">
        <v>208</v>
      </c>
      <c r="H82" s="22">
        <v>6</v>
      </c>
      <c r="I82" s="15"/>
      <c r="J82" s="16"/>
      <c r="K82" s="16"/>
    </row>
    <row r="83" spans="2:11" ht="15.75" customHeight="1" x14ac:dyDescent="0.3">
      <c r="B83" s="31"/>
      <c r="C83" s="9"/>
      <c r="D83" s="9"/>
      <c r="G83" s="23" t="s">
        <v>209</v>
      </c>
      <c r="H83" s="22">
        <v>5</v>
      </c>
      <c r="I83" s="15"/>
      <c r="J83" s="16"/>
      <c r="K83" s="16"/>
    </row>
    <row r="84" spans="2:11" ht="15.75" customHeight="1" x14ac:dyDescent="0.3">
      <c r="B84" s="31"/>
      <c r="C84" s="9"/>
      <c r="D84" s="9"/>
      <c r="G84" s="23" t="s">
        <v>210</v>
      </c>
      <c r="H84" s="22">
        <v>16</v>
      </c>
      <c r="I84" s="15"/>
      <c r="J84" s="16"/>
      <c r="K84" s="16"/>
    </row>
    <row r="85" spans="2:11" ht="15.75" customHeight="1" x14ac:dyDescent="0.3">
      <c r="B85" s="31"/>
      <c r="C85" s="9"/>
      <c r="D85" s="9"/>
      <c r="G85" s="23" t="s">
        <v>211</v>
      </c>
      <c r="H85" s="22">
        <v>5</v>
      </c>
      <c r="I85" s="15"/>
      <c r="J85" s="16"/>
      <c r="K85" s="16"/>
    </row>
    <row r="86" spans="2:11" ht="15.75" customHeight="1" x14ac:dyDescent="0.3">
      <c r="B86" s="31"/>
      <c r="C86" s="9"/>
      <c r="D86" s="9"/>
      <c r="G86" s="23" t="s">
        <v>212</v>
      </c>
      <c r="H86" s="22">
        <v>18</v>
      </c>
      <c r="I86" s="15"/>
      <c r="J86" s="16"/>
      <c r="K86" s="16"/>
    </row>
    <row r="87" spans="2:11" ht="15.75" customHeight="1" x14ac:dyDescent="0.3">
      <c r="B87" s="31"/>
      <c r="C87" s="9"/>
      <c r="D87" s="9"/>
      <c r="G87" s="23" t="s">
        <v>213</v>
      </c>
      <c r="H87" s="22">
        <v>5</v>
      </c>
      <c r="I87" s="15"/>
      <c r="J87" s="16"/>
      <c r="K87" s="16"/>
    </row>
    <row r="88" spans="2:11" ht="15.75" customHeight="1" x14ac:dyDescent="0.3">
      <c r="B88" s="31"/>
      <c r="C88" s="9"/>
      <c r="D88" s="9"/>
      <c r="G88" s="23" t="s">
        <v>214</v>
      </c>
      <c r="H88" s="22">
        <v>15</v>
      </c>
      <c r="I88" s="15"/>
      <c r="J88" s="16"/>
      <c r="K88" s="16"/>
    </row>
    <row r="89" spans="2:11" ht="15.75" customHeight="1" x14ac:dyDescent="0.3">
      <c r="B89" s="31"/>
      <c r="C89" s="9"/>
      <c r="D89" s="9"/>
      <c r="G89" s="23" t="s">
        <v>215</v>
      </c>
      <c r="H89" s="22">
        <v>17</v>
      </c>
      <c r="I89" s="15"/>
      <c r="J89" s="16"/>
      <c r="K89" s="16"/>
    </row>
    <row r="90" spans="2:11" ht="15.75" customHeight="1" x14ac:dyDescent="0.3">
      <c r="B90" s="31"/>
      <c r="C90" s="9"/>
      <c r="D90" s="9"/>
      <c r="G90" s="23" t="s">
        <v>216</v>
      </c>
      <c r="H90" s="22">
        <v>14</v>
      </c>
      <c r="I90" s="15"/>
      <c r="J90" s="16"/>
      <c r="K90" s="16"/>
    </row>
    <row r="91" spans="2:11" ht="15.75" customHeight="1" x14ac:dyDescent="0.3">
      <c r="B91" s="31"/>
      <c r="C91" s="9"/>
      <c r="D91" s="9"/>
      <c r="G91" s="23" t="s">
        <v>217</v>
      </c>
      <c r="H91" s="22">
        <v>15</v>
      </c>
      <c r="I91" s="15"/>
      <c r="J91" s="16"/>
      <c r="K91" s="16"/>
    </row>
    <row r="92" spans="2:11" ht="15.75" customHeight="1" x14ac:dyDescent="0.3">
      <c r="B92" s="31"/>
      <c r="C92" s="9"/>
      <c r="D92" s="9"/>
      <c r="G92" s="23" t="s">
        <v>218</v>
      </c>
      <c r="H92" s="22">
        <v>19</v>
      </c>
      <c r="I92" s="15"/>
      <c r="J92" s="16"/>
      <c r="K92" s="16"/>
    </row>
    <row r="93" spans="2:11" ht="15.75" customHeight="1" x14ac:dyDescent="0.3">
      <c r="B93" s="31"/>
      <c r="C93" s="9"/>
      <c r="D93" s="9"/>
      <c r="G93" s="23" t="s">
        <v>219</v>
      </c>
      <c r="H93" s="22">
        <v>5</v>
      </c>
      <c r="I93" s="15"/>
      <c r="J93" s="16"/>
      <c r="K93" s="16"/>
    </row>
    <row r="94" spans="2:11" ht="15.75" customHeight="1" x14ac:dyDescent="0.3">
      <c r="B94" s="31"/>
      <c r="C94" s="9"/>
      <c r="D94" s="9"/>
      <c r="G94" s="23" t="s">
        <v>220</v>
      </c>
      <c r="H94" s="22">
        <v>9</v>
      </c>
      <c r="I94" s="15"/>
      <c r="J94" s="16"/>
      <c r="K94" s="16"/>
    </row>
    <row r="95" spans="2:11" ht="15.75" customHeight="1" x14ac:dyDescent="0.3">
      <c r="B95" s="31"/>
      <c r="C95" s="9"/>
      <c r="D95" s="9"/>
      <c r="G95" s="23" t="s">
        <v>221</v>
      </c>
      <c r="H95" s="22">
        <v>13</v>
      </c>
      <c r="I95" s="15"/>
      <c r="J95" s="16"/>
      <c r="K95" s="16"/>
    </row>
    <row r="96" spans="2:11" ht="15.75" customHeight="1" x14ac:dyDescent="0.3">
      <c r="B96" s="31"/>
      <c r="C96" s="9"/>
      <c r="D96" s="9"/>
      <c r="G96" s="23" t="s">
        <v>222</v>
      </c>
      <c r="H96" s="22">
        <v>5</v>
      </c>
      <c r="I96" s="15"/>
      <c r="J96" s="16"/>
      <c r="K96" s="16"/>
    </row>
    <row r="97" spans="2:11" ht="15.75" customHeight="1" x14ac:dyDescent="0.3">
      <c r="B97" s="31"/>
      <c r="C97" s="9"/>
      <c r="D97" s="9"/>
      <c r="G97" s="23" t="s">
        <v>223</v>
      </c>
      <c r="H97" s="22">
        <v>15</v>
      </c>
      <c r="I97" s="15"/>
      <c r="J97" s="16"/>
      <c r="K97" s="16"/>
    </row>
    <row r="98" spans="2:11" ht="15.75" customHeight="1" x14ac:dyDescent="0.3">
      <c r="B98" s="31"/>
      <c r="C98" s="9"/>
      <c r="D98" s="9"/>
      <c r="G98" s="23" t="s">
        <v>224</v>
      </c>
      <c r="H98" s="22">
        <v>18</v>
      </c>
      <c r="I98" s="15"/>
      <c r="J98" s="16"/>
      <c r="K98" s="16"/>
    </row>
    <row r="99" spans="2:11" ht="15.75" customHeight="1" x14ac:dyDescent="0.3">
      <c r="B99" s="31"/>
      <c r="C99" s="9"/>
      <c r="D99" s="9"/>
      <c r="G99" s="23" t="s">
        <v>225</v>
      </c>
      <c r="H99" s="22">
        <v>19</v>
      </c>
      <c r="I99" s="15"/>
      <c r="J99" s="16"/>
      <c r="K99" s="16"/>
    </row>
    <row r="100" spans="2:11" ht="15.75" customHeight="1" x14ac:dyDescent="0.3">
      <c r="B100" s="31"/>
      <c r="C100" s="9"/>
      <c r="D100" s="9"/>
      <c r="G100" s="23" t="s">
        <v>226</v>
      </c>
      <c r="H100" s="22">
        <v>13</v>
      </c>
      <c r="I100" s="15"/>
      <c r="J100" s="16"/>
      <c r="K100" s="16"/>
    </row>
    <row r="101" spans="2:11" ht="15.75" customHeight="1" x14ac:dyDescent="0.3">
      <c r="B101" s="31"/>
      <c r="C101" s="9"/>
      <c r="D101" s="9"/>
      <c r="G101" s="23" t="s">
        <v>227</v>
      </c>
      <c r="H101" s="22">
        <v>4</v>
      </c>
      <c r="I101" s="15"/>
      <c r="J101" s="16"/>
      <c r="K101" s="16"/>
    </row>
    <row r="102" spans="2:11" ht="15.75" customHeight="1" x14ac:dyDescent="0.3">
      <c r="B102" s="31"/>
      <c r="C102" s="9"/>
      <c r="D102" s="9"/>
      <c r="G102" s="23" t="s">
        <v>228</v>
      </c>
      <c r="H102" s="22">
        <v>4</v>
      </c>
      <c r="I102" s="15"/>
      <c r="J102" s="16"/>
      <c r="K102" s="16"/>
    </row>
    <row r="103" spans="2:11" ht="15.75" customHeight="1" x14ac:dyDescent="0.3">
      <c r="B103" s="31"/>
      <c r="C103" s="9"/>
      <c r="D103" s="9"/>
      <c r="G103" s="23" t="s">
        <v>229</v>
      </c>
      <c r="H103" s="22">
        <v>16</v>
      </c>
      <c r="I103" s="15"/>
      <c r="J103" s="16"/>
      <c r="K103" s="16"/>
    </row>
    <row r="104" spans="2:11" ht="15.75" customHeight="1" x14ac:dyDescent="0.3">
      <c r="B104" s="31"/>
      <c r="C104" s="9"/>
      <c r="D104" s="9"/>
      <c r="G104" s="23" t="s">
        <v>230</v>
      </c>
      <c r="H104" s="22">
        <v>17</v>
      </c>
      <c r="I104" s="15"/>
      <c r="J104" s="16"/>
      <c r="K104" s="16"/>
    </row>
    <row r="105" spans="2:11" ht="15.75" customHeight="1" x14ac:dyDescent="0.3">
      <c r="B105" s="31"/>
      <c r="C105" s="9"/>
      <c r="D105" s="9"/>
      <c r="G105" s="23" t="s">
        <v>231</v>
      </c>
      <c r="H105" s="22">
        <v>20</v>
      </c>
      <c r="I105" s="15"/>
      <c r="J105" s="16"/>
      <c r="K105" s="16"/>
    </row>
    <row r="106" spans="2:11" ht="15.75" customHeight="1" x14ac:dyDescent="0.3">
      <c r="B106" s="31"/>
      <c r="C106" s="9"/>
      <c r="D106" s="9"/>
      <c r="G106" s="23" t="s">
        <v>232</v>
      </c>
      <c r="H106" s="22">
        <v>7</v>
      </c>
      <c r="I106" s="15"/>
      <c r="J106" s="16"/>
      <c r="K106" s="16"/>
    </row>
    <row r="107" spans="2:11" ht="15.75" customHeight="1" x14ac:dyDescent="0.3">
      <c r="B107" s="31"/>
      <c r="C107" s="9"/>
      <c r="D107" s="9"/>
      <c r="G107" s="23" t="s">
        <v>233</v>
      </c>
      <c r="H107" s="22">
        <v>20</v>
      </c>
      <c r="I107" s="15"/>
      <c r="J107" s="16"/>
      <c r="K107" s="16"/>
    </row>
    <row r="108" spans="2:11" ht="15.75" customHeight="1" x14ac:dyDescent="0.3">
      <c r="B108" s="31"/>
      <c r="C108" s="9"/>
      <c r="D108" s="9"/>
      <c r="G108" s="23" t="s">
        <v>234</v>
      </c>
      <c r="H108" s="22">
        <v>13</v>
      </c>
      <c r="I108" s="15"/>
      <c r="J108" s="16"/>
      <c r="K108" s="16"/>
    </row>
    <row r="109" spans="2:11" ht="15.75" customHeight="1" x14ac:dyDescent="0.3">
      <c r="B109" s="31"/>
      <c r="C109" s="9"/>
      <c r="D109" s="9"/>
      <c r="G109" s="23" t="s">
        <v>235</v>
      </c>
      <c r="H109" s="22">
        <v>7</v>
      </c>
      <c r="I109" s="15"/>
      <c r="J109" s="16"/>
      <c r="K109" s="16"/>
    </row>
    <row r="110" spans="2:11" ht="15.75" customHeight="1" x14ac:dyDescent="0.3">
      <c r="B110" s="31"/>
      <c r="C110" s="9"/>
      <c r="D110" s="9"/>
      <c r="G110" s="23" t="s">
        <v>236</v>
      </c>
      <c r="H110" s="22">
        <v>4</v>
      </c>
      <c r="I110" s="15"/>
      <c r="J110" s="16"/>
      <c r="K110" s="16"/>
    </row>
    <row r="111" spans="2:11" ht="15.75" customHeight="1" x14ac:dyDescent="0.3">
      <c r="B111" s="31"/>
      <c r="C111" s="9"/>
      <c r="D111" s="9"/>
      <c r="G111" s="23" t="s">
        <v>237</v>
      </c>
      <c r="H111" s="22">
        <v>5</v>
      </c>
      <c r="I111" s="15"/>
      <c r="J111" s="16"/>
      <c r="K111" s="16"/>
    </row>
    <row r="112" spans="2:11" ht="15.75" customHeight="1" x14ac:dyDescent="0.3">
      <c r="B112" s="31"/>
      <c r="C112" s="9"/>
      <c r="D112" s="9"/>
      <c r="G112" s="23" t="s">
        <v>238</v>
      </c>
      <c r="H112" s="22">
        <v>17</v>
      </c>
      <c r="I112" s="15"/>
      <c r="J112" s="16"/>
      <c r="K112" s="16"/>
    </row>
    <row r="113" spans="2:11" ht="15.75" customHeight="1" x14ac:dyDescent="0.3">
      <c r="B113" s="31"/>
      <c r="C113" s="9"/>
      <c r="D113" s="9"/>
      <c r="G113" s="23" t="s">
        <v>239</v>
      </c>
      <c r="H113" s="22">
        <v>8</v>
      </c>
      <c r="I113" s="15"/>
      <c r="J113" s="16"/>
      <c r="K113" s="16"/>
    </row>
    <row r="114" spans="2:11" ht="15.75" customHeight="1" x14ac:dyDescent="0.3">
      <c r="B114" s="31"/>
      <c r="C114" s="9"/>
      <c r="D114" s="9"/>
      <c r="G114" s="23" t="s">
        <v>240</v>
      </c>
      <c r="H114" s="22">
        <v>17</v>
      </c>
      <c r="I114" s="15"/>
      <c r="J114" s="16"/>
      <c r="K114" s="16"/>
    </row>
    <row r="115" spans="2:11" ht="15.75" customHeight="1" x14ac:dyDescent="0.3">
      <c r="B115" s="31"/>
      <c r="C115" s="9"/>
      <c r="D115" s="9"/>
      <c r="G115" s="23" t="s">
        <v>241</v>
      </c>
      <c r="H115" s="22">
        <v>17</v>
      </c>
      <c r="I115" s="15"/>
      <c r="J115" s="16"/>
      <c r="K115" s="16"/>
    </row>
    <row r="116" spans="2:11" ht="15.75" customHeight="1" x14ac:dyDescent="0.3">
      <c r="B116" s="31"/>
      <c r="C116" s="9"/>
      <c r="D116" s="9"/>
      <c r="G116" s="23" t="s">
        <v>242</v>
      </c>
      <c r="H116" s="22">
        <v>7</v>
      </c>
      <c r="I116" s="15"/>
      <c r="J116" s="16"/>
      <c r="K116" s="16"/>
    </row>
    <row r="117" spans="2:11" ht="15.75" customHeight="1" x14ac:dyDescent="0.3">
      <c r="B117" s="31"/>
      <c r="C117" s="9"/>
      <c r="D117" s="9"/>
      <c r="G117" s="23" t="s">
        <v>243</v>
      </c>
      <c r="H117" s="22">
        <v>6</v>
      </c>
      <c r="I117" s="15"/>
      <c r="J117" s="16"/>
      <c r="K117" s="16"/>
    </row>
    <row r="118" spans="2:11" ht="15.75" customHeight="1" x14ac:dyDescent="0.3">
      <c r="B118" s="31"/>
      <c r="C118" s="9"/>
      <c r="D118" s="9"/>
      <c r="G118" s="23" t="s">
        <v>244</v>
      </c>
      <c r="H118" s="22">
        <v>13</v>
      </c>
      <c r="I118" s="15"/>
      <c r="J118" s="16"/>
      <c r="K118" s="16"/>
    </row>
    <row r="119" spans="2:11" ht="15.75" customHeight="1" x14ac:dyDescent="0.3">
      <c r="B119" s="31"/>
      <c r="C119" s="9"/>
      <c r="D119" s="9"/>
      <c r="G119" s="23" t="s">
        <v>245</v>
      </c>
      <c r="H119" s="22">
        <v>8</v>
      </c>
      <c r="I119" s="15"/>
      <c r="J119" s="16"/>
      <c r="K119" s="16"/>
    </row>
    <row r="120" spans="2:11" ht="15.75" customHeight="1" x14ac:dyDescent="0.3">
      <c r="B120" s="31"/>
      <c r="C120" s="9"/>
      <c r="D120" s="9"/>
      <c r="G120" s="23" t="s">
        <v>246</v>
      </c>
      <c r="H120" s="22">
        <v>20</v>
      </c>
      <c r="I120" s="15"/>
      <c r="J120" s="16"/>
      <c r="K120" s="16"/>
    </row>
    <row r="121" spans="2:11" ht="15.75" customHeight="1" x14ac:dyDescent="0.3">
      <c r="B121" s="31"/>
      <c r="C121" s="9"/>
      <c r="D121" s="9"/>
      <c r="G121" s="23" t="s">
        <v>247</v>
      </c>
      <c r="H121" s="22">
        <v>9</v>
      </c>
      <c r="I121" s="15"/>
      <c r="J121" s="16"/>
      <c r="K121" s="16"/>
    </row>
    <row r="122" spans="2:11" ht="15.75" customHeight="1" x14ac:dyDescent="0.3">
      <c r="B122" s="31"/>
      <c r="C122" s="9"/>
      <c r="D122" s="9"/>
      <c r="G122" s="23" t="s">
        <v>248</v>
      </c>
      <c r="H122" s="22">
        <v>10</v>
      </c>
      <c r="I122" s="15"/>
      <c r="J122" s="16"/>
      <c r="K122" s="16"/>
    </row>
    <row r="123" spans="2:11" ht="15.75" customHeight="1" x14ac:dyDescent="0.3">
      <c r="B123" s="31"/>
      <c r="C123" s="9"/>
      <c r="D123" s="9"/>
      <c r="G123" s="23" t="s">
        <v>249</v>
      </c>
      <c r="H123" s="22">
        <v>4</v>
      </c>
      <c r="I123" s="15"/>
      <c r="J123" s="16"/>
      <c r="K123" s="16"/>
    </row>
    <row r="124" spans="2:11" ht="15.75" customHeight="1" x14ac:dyDescent="0.3">
      <c r="B124" s="31"/>
      <c r="C124" s="9"/>
      <c r="D124" s="9"/>
      <c r="G124" s="23" t="s">
        <v>250</v>
      </c>
      <c r="H124" s="22">
        <v>18</v>
      </c>
      <c r="I124" s="15"/>
      <c r="J124" s="16"/>
      <c r="K124" s="16"/>
    </row>
    <row r="125" spans="2:11" ht="15.75" customHeight="1" x14ac:dyDescent="0.3">
      <c r="B125" s="31"/>
      <c r="C125" s="9"/>
      <c r="D125" s="9"/>
      <c r="G125" s="23" t="s">
        <v>251</v>
      </c>
      <c r="H125" s="22">
        <v>4</v>
      </c>
      <c r="I125" s="15"/>
      <c r="J125" s="16"/>
      <c r="K125" s="16"/>
    </row>
    <row r="126" spans="2:11" ht="15.75" customHeight="1" x14ac:dyDescent="0.3">
      <c r="B126" s="31"/>
      <c r="C126" s="9"/>
      <c r="D126" s="9"/>
      <c r="G126" s="23" t="s">
        <v>252</v>
      </c>
      <c r="H126" s="22">
        <v>20</v>
      </c>
      <c r="I126" s="15"/>
      <c r="J126" s="16"/>
      <c r="K126" s="16"/>
    </row>
    <row r="127" spans="2:11" ht="15.75" customHeight="1" x14ac:dyDescent="0.3">
      <c r="B127" s="31"/>
      <c r="C127" s="9"/>
      <c r="D127" s="9"/>
      <c r="G127" s="23" t="s">
        <v>253</v>
      </c>
      <c r="H127" s="22">
        <v>5</v>
      </c>
      <c r="I127" s="15"/>
      <c r="J127" s="16"/>
      <c r="K127" s="16"/>
    </row>
    <row r="128" spans="2:11" ht="15.75" customHeight="1" x14ac:dyDescent="0.3">
      <c r="B128" s="31"/>
      <c r="C128" s="9"/>
      <c r="D128" s="9"/>
      <c r="G128" s="23" t="s">
        <v>254</v>
      </c>
      <c r="H128" s="22">
        <v>5</v>
      </c>
      <c r="I128" s="15"/>
      <c r="J128" s="16"/>
      <c r="K128" s="16"/>
    </row>
    <row r="129" spans="2:11" ht="15.75" customHeight="1" x14ac:dyDescent="0.3">
      <c r="B129" s="31"/>
      <c r="C129" s="9"/>
      <c r="D129" s="9"/>
      <c r="G129" s="23" t="s">
        <v>255</v>
      </c>
      <c r="H129" s="22">
        <v>17</v>
      </c>
      <c r="I129" s="15"/>
      <c r="J129" s="16"/>
      <c r="K129" s="16"/>
    </row>
    <row r="130" spans="2:11" ht="15.75" customHeight="1" x14ac:dyDescent="0.3">
      <c r="B130" s="31"/>
      <c r="C130" s="9"/>
      <c r="D130" s="9"/>
      <c r="G130" s="23" t="s">
        <v>256</v>
      </c>
      <c r="H130" s="22">
        <v>17</v>
      </c>
      <c r="I130" s="15"/>
      <c r="J130" s="16"/>
      <c r="K130" s="16"/>
    </row>
    <row r="131" spans="2:11" ht="15.75" customHeight="1" x14ac:dyDescent="0.3">
      <c r="B131" s="31"/>
      <c r="C131" s="9"/>
      <c r="D131" s="9"/>
      <c r="G131" s="23" t="s">
        <v>257</v>
      </c>
      <c r="H131" s="22">
        <v>6</v>
      </c>
      <c r="I131" s="15"/>
      <c r="J131" s="16"/>
      <c r="K131" s="16"/>
    </row>
    <row r="132" spans="2:11" ht="15.75" customHeight="1" x14ac:dyDescent="0.3">
      <c r="B132" s="31"/>
      <c r="C132" s="9"/>
      <c r="D132" s="9"/>
      <c r="G132" s="23" t="s">
        <v>258</v>
      </c>
      <c r="H132" s="22">
        <v>15</v>
      </c>
      <c r="I132" s="15"/>
      <c r="J132" s="16"/>
      <c r="K132" s="16"/>
    </row>
    <row r="133" spans="2:11" ht="15.75" customHeight="1" x14ac:dyDescent="0.3">
      <c r="B133" s="31"/>
      <c r="C133" s="9"/>
      <c r="D133" s="9"/>
      <c r="G133" s="23" t="s">
        <v>259</v>
      </c>
      <c r="H133" s="22">
        <v>7</v>
      </c>
      <c r="I133" s="15"/>
      <c r="J133" s="16"/>
      <c r="K133" s="16"/>
    </row>
    <row r="134" spans="2:11" ht="15.75" customHeight="1" x14ac:dyDescent="0.3">
      <c r="B134" s="31"/>
      <c r="C134" s="9"/>
      <c r="D134" s="9"/>
      <c r="G134" s="23" t="s">
        <v>260</v>
      </c>
      <c r="H134" s="22">
        <v>4</v>
      </c>
      <c r="I134" s="15"/>
      <c r="J134" s="16"/>
      <c r="K134" s="16"/>
    </row>
    <row r="135" spans="2:11" ht="15.75" customHeight="1" x14ac:dyDescent="0.3">
      <c r="B135" s="31"/>
      <c r="C135" s="9"/>
      <c r="D135" s="9"/>
      <c r="G135" s="23" t="s">
        <v>261</v>
      </c>
      <c r="H135" s="22">
        <v>11</v>
      </c>
      <c r="I135" s="15"/>
      <c r="J135" s="16"/>
      <c r="K135" s="16"/>
    </row>
    <row r="136" spans="2:11" ht="15.75" customHeight="1" x14ac:dyDescent="0.3">
      <c r="B136" s="31"/>
      <c r="C136" s="9"/>
      <c r="D136" s="9"/>
      <c r="G136" s="23" t="s">
        <v>262</v>
      </c>
      <c r="H136" s="22">
        <v>15</v>
      </c>
      <c r="I136" s="15"/>
      <c r="J136" s="16"/>
      <c r="K136" s="16"/>
    </row>
    <row r="137" spans="2:11" ht="15.75" customHeight="1" x14ac:dyDescent="0.3">
      <c r="B137" s="31"/>
      <c r="C137" s="9"/>
      <c r="D137" s="9"/>
      <c r="G137" s="23" t="s">
        <v>263</v>
      </c>
      <c r="H137" s="22">
        <v>6</v>
      </c>
      <c r="I137" s="15"/>
      <c r="J137" s="16"/>
      <c r="K137" s="16"/>
    </row>
    <row r="138" spans="2:11" ht="15.75" customHeight="1" x14ac:dyDescent="0.3">
      <c r="B138" s="31"/>
      <c r="C138" s="9"/>
      <c r="D138" s="9"/>
      <c r="G138" s="23" t="s">
        <v>264</v>
      </c>
      <c r="H138" s="22">
        <v>9</v>
      </c>
      <c r="I138" s="15"/>
      <c r="J138" s="16"/>
      <c r="K138" s="16"/>
    </row>
    <row r="139" spans="2:11" ht="15.75" customHeight="1" x14ac:dyDescent="0.3">
      <c r="B139" s="31"/>
      <c r="C139" s="9"/>
      <c r="D139" s="9"/>
      <c r="G139" s="23" t="s">
        <v>265</v>
      </c>
      <c r="H139" s="22">
        <v>18</v>
      </c>
      <c r="I139" s="15"/>
      <c r="J139" s="16"/>
      <c r="K139" s="16"/>
    </row>
    <row r="140" spans="2:11" ht="15.75" customHeight="1" x14ac:dyDescent="0.3">
      <c r="B140" s="31"/>
      <c r="C140" s="9"/>
      <c r="D140" s="9"/>
      <c r="G140" s="23" t="s">
        <v>266</v>
      </c>
      <c r="H140" s="22">
        <v>13</v>
      </c>
      <c r="I140" s="15"/>
      <c r="J140" s="16"/>
      <c r="K140" s="16"/>
    </row>
    <row r="141" spans="2:11" ht="15.75" customHeight="1" x14ac:dyDescent="0.3">
      <c r="B141" s="31"/>
      <c r="C141" s="9"/>
      <c r="D141" s="9"/>
      <c r="G141" s="23" t="s">
        <v>267</v>
      </c>
      <c r="H141" s="22">
        <v>17</v>
      </c>
      <c r="I141" s="15"/>
      <c r="J141" s="16"/>
      <c r="K141" s="16"/>
    </row>
    <row r="142" spans="2:11" ht="15.75" customHeight="1" x14ac:dyDescent="0.3">
      <c r="B142" s="31"/>
      <c r="C142" s="9"/>
      <c r="D142" s="9"/>
      <c r="G142" s="23" t="s">
        <v>268</v>
      </c>
      <c r="H142" s="22">
        <v>14</v>
      </c>
      <c r="I142" s="15"/>
      <c r="J142" s="16"/>
      <c r="K142" s="16"/>
    </row>
    <row r="143" spans="2:11" ht="15.75" customHeight="1" x14ac:dyDescent="0.3">
      <c r="B143" s="31"/>
      <c r="C143" s="9"/>
      <c r="D143" s="9"/>
      <c r="G143" s="23" t="s">
        <v>269</v>
      </c>
      <c r="H143" s="22">
        <v>16</v>
      </c>
      <c r="I143" s="15"/>
      <c r="J143" s="16"/>
      <c r="K143" s="16"/>
    </row>
    <row r="144" spans="2:11" ht="15.75" customHeight="1" x14ac:dyDescent="0.3">
      <c r="B144" s="31"/>
      <c r="C144" s="9"/>
      <c r="D144" s="9"/>
      <c r="G144" s="23" t="s">
        <v>270</v>
      </c>
      <c r="H144" s="22">
        <v>4</v>
      </c>
      <c r="I144" s="15"/>
      <c r="J144" s="16"/>
      <c r="K144" s="16"/>
    </row>
    <row r="145" spans="2:11" ht="15.75" customHeight="1" x14ac:dyDescent="0.3">
      <c r="B145" s="31"/>
      <c r="C145" s="9"/>
      <c r="D145" s="9"/>
      <c r="G145" s="23" t="s">
        <v>271</v>
      </c>
      <c r="H145" s="22">
        <v>10</v>
      </c>
      <c r="I145" s="15"/>
      <c r="J145" s="16"/>
      <c r="K145" s="16"/>
    </row>
    <row r="146" spans="2:11" ht="15.75" customHeight="1" x14ac:dyDescent="0.3">
      <c r="B146" s="31"/>
      <c r="C146" s="9"/>
      <c r="D146" s="9"/>
      <c r="G146" s="23" t="s">
        <v>272</v>
      </c>
      <c r="H146" s="22">
        <v>18</v>
      </c>
      <c r="I146" s="15"/>
      <c r="J146" s="16"/>
      <c r="K146" s="16"/>
    </row>
    <row r="147" spans="2:11" ht="15.75" customHeight="1" x14ac:dyDescent="0.3">
      <c r="B147" s="31"/>
      <c r="C147" s="9"/>
      <c r="D147" s="9"/>
      <c r="G147" s="23" t="s">
        <v>273</v>
      </c>
      <c r="H147" s="22">
        <v>5</v>
      </c>
      <c r="I147" s="15"/>
      <c r="J147" s="16"/>
      <c r="K147" s="16"/>
    </row>
    <row r="148" spans="2:11" ht="15.75" customHeight="1" x14ac:dyDescent="0.3">
      <c r="B148" s="31"/>
      <c r="C148" s="9"/>
      <c r="D148" s="9"/>
      <c r="G148" s="23" t="s">
        <v>274</v>
      </c>
      <c r="H148" s="22">
        <v>5</v>
      </c>
      <c r="I148" s="15"/>
      <c r="J148" s="16"/>
      <c r="K148" s="16"/>
    </row>
    <row r="149" spans="2:11" ht="15.75" customHeight="1" x14ac:dyDescent="0.3">
      <c r="B149" s="31"/>
      <c r="C149" s="9"/>
      <c r="D149" s="9"/>
      <c r="G149" s="23" t="s">
        <v>275</v>
      </c>
      <c r="H149" s="22">
        <v>12</v>
      </c>
      <c r="I149" s="15"/>
      <c r="J149" s="16"/>
      <c r="K149" s="16"/>
    </row>
    <row r="150" spans="2:11" ht="15.75" customHeight="1" x14ac:dyDescent="0.3">
      <c r="B150" s="31"/>
      <c r="C150" s="9"/>
      <c r="D150" s="9"/>
      <c r="G150" s="23" t="s">
        <v>276</v>
      </c>
      <c r="H150" s="22">
        <v>15</v>
      </c>
      <c r="I150" s="15"/>
      <c r="J150" s="16"/>
      <c r="K150" s="16"/>
    </row>
    <row r="151" spans="2:11" ht="15.75" customHeight="1" x14ac:dyDescent="0.3">
      <c r="B151" s="31"/>
      <c r="C151" s="9"/>
      <c r="D151" s="9"/>
      <c r="G151" s="23" t="s">
        <v>277</v>
      </c>
      <c r="H151" s="22">
        <v>5</v>
      </c>
      <c r="I151" s="15"/>
      <c r="J151" s="16"/>
      <c r="K151" s="16"/>
    </row>
    <row r="152" spans="2:11" ht="15.75" customHeight="1" x14ac:dyDescent="0.3">
      <c r="B152" s="31"/>
      <c r="C152" s="9"/>
      <c r="D152" s="9"/>
      <c r="G152" s="23" t="s">
        <v>278</v>
      </c>
      <c r="H152" s="22">
        <v>10</v>
      </c>
      <c r="I152" s="15"/>
      <c r="J152" s="16"/>
      <c r="K152" s="16"/>
    </row>
    <row r="153" spans="2:11" ht="15.75" customHeight="1" x14ac:dyDescent="0.3">
      <c r="B153" s="31"/>
      <c r="C153" s="9"/>
      <c r="D153" s="9"/>
      <c r="G153" s="23" t="s">
        <v>279</v>
      </c>
      <c r="H153" s="22">
        <v>19</v>
      </c>
      <c r="I153" s="15"/>
      <c r="J153" s="16"/>
      <c r="K153" s="16"/>
    </row>
    <row r="154" spans="2:11" ht="15.75" customHeight="1" x14ac:dyDescent="0.3">
      <c r="B154" s="31"/>
      <c r="C154" s="9"/>
      <c r="D154" s="9"/>
      <c r="G154" s="23" t="s">
        <v>280</v>
      </c>
      <c r="H154" s="22">
        <v>17</v>
      </c>
      <c r="I154" s="15"/>
      <c r="J154" s="16"/>
      <c r="K154" s="16"/>
    </row>
    <row r="155" spans="2:11" ht="15.75" customHeight="1" x14ac:dyDescent="0.3">
      <c r="B155" s="31"/>
      <c r="C155" s="9"/>
      <c r="D155" s="9"/>
      <c r="G155" s="23" t="s">
        <v>281</v>
      </c>
      <c r="H155" s="22">
        <v>8</v>
      </c>
      <c r="I155" s="15"/>
      <c r="J155" s="16"/>
      <c r="K155" s="16"/>
    </row>
    <row r="156" spans="2:11" ht="15.75" customHeight="1" x14ac:dyDescent="0.3">
      <c r="B156" s="31"/>
      <c r="C156" s="9"/>
      <c r="D156" s="9"/>
      <c r="G156" s="23" t="s">
        <v>282</v>
      </c>
      <c r="H156" s="22">
        <v>11</v>
      </c>
      <c r="I156" s="15"/>
      <c r="J156" s="16"/>
      <c r="K156" s="16"/>
    </row>
    <row r="157" spans="2:11" ht="15.75" customHeight="1" x14ac:dyDescent="0.3">
      <c r="B157" s="31"/>
      <c r="C157" s="9"/>
      <c r="D157" s="9"/>
      <c r="G157" s="23" t="s">
        <v>283</v>
      </c>
      <c r="H157" s="22">
        <v>19</v>
      </c>
      <c r="I157" s="15"/>
      <c r="J157" s="16"/>
      <c r="K157" s="16"/>
    </row>
    <row r="158" spans="2:11" ht="15.75" customHeight="1" x14ac:dyDescent="0.3">
      <c r="B158" s="31"/>
      <c r="C158" s="9"/>
      <c r="D158" s="9"/>
      <c r="G158" s="23" t="s">
        <v>284</v>
      </c>
      <c r="H158" s="22">
        <v>4</v>
      </c>
      <c r="I158" s="15"/>
      <c r="J158" s="16"/>
      <c r="K158" s="16"/>
    </row>
    <row r="159" spans="2:11" ht="15.75" customHeight="1" x14ac:dyDescent="0.3">
      <c r="B159" s="31"/>
      <c r="C159" s="9"/>
      <c r="D159" s="9"/>
      <c r="G159" s="23" t="s">
        <v>285</v>
      </c>
      <c r="H159" s="22">
        <v>17</v>
      </c>
      <c r="I159" s="15"/>
      <c r="J159" s="16"/>
      <c r="K159" s="16"/>
    </row>
    <row r="160" spans="2:11" ht="15.75" customHeight="1" x14ac:dyDescent="0.3">
      <c r="B160" s="31"/>
      <c r="C160" s="9"/>
      <c r="D160" s="9"/>
      <c r="G160" s="23" t="s">
        <v>286</v>
      </c>
      <c r="H160" s="22">
        <v>5</v>
      </c>
      <c r="I160" s="15"/>
      <c r="J160" s="16"/>
      <c r="K160" s="16"/>
    </row>
    <row r="161" spans="2:11" ht="15.75" customHeight="1" x14ac:dyDescent="0.3">
      <c r="B161" s="31"/>
      <c r="C161" s="9"/>
      <c r="D161" s="9"/>
      <c r="G161" s="23" t="s">
        <v>287</v>
      </c>
      <c r="H161" s="22">
        <v>15</v>
      </c>
      <c r="I161" s="15"/>
      <c r="J161" s="16"/>
      <c r="K161" s="16"/>
    </row>
    <row r="162" spans="2:11" ht="15.75" customHeight="1" x14ac:dyDescent="0.3">
      <c r="B162" s="31"/>
      <c r="C162" s="9"/>
      <c r="D162" s="9"/>
      <c r="G162" s="23" t="s">
        <v>288</v>
      </c>
      <c r="H162" s="22">
        <v>7</v>
      </c>
      <c r="I162" s="15"/>
      <c r="J162" s="16"/>
      <c r="K162" s="16"/>
    </row>
    <row r="163" spans="2:11" ht="15.75" customHeight="1" x14ac:dyDescent="0.3">
      <c r="B163" s="31"/>
      <c r="C163" s="9"/>
      <c r="D163" s="9"/>
      <c r="G163" s="23" t="s">
        <v>289</v>
      </c>
      <c r="H163" s="22">
        <v>15</v>
      </c>
      <c r="I163" s="15"/>
      <c r="J163" s="16"/>
      <c r="K163" s="16"/>
    </row>
    <row r="164" spans="2:11" ht="15.75" customHeight="1" x14ac:dyDescent="0.3">
      <c r="B164" s="31"/>
      <c r="C164" s="9"/>
      <c r="D164" s="9"/>
      <c r="G164" s="23" t="s">
        <v>290</v>
      </c>
      <c r="H164" s="22">
        <v>12</v>
      </c>
      <c r="I164" s="15"/>
      <c r="J164" s="16"/>
      <c r="K164" s="16"/>
    </row>
    <row r="165" spans="2:11" ht="15.75" customHeight="1" x14ac:dyDescent="0.3">
      <c r="B165" s="31"/>
      <c r="C165" s="9"/>
      <c r="D165" s="9"/>
      <c r="G165" s="23" t="s">
        <v>291</v>
      </c>
      <c r="H165" s="22">
        <v>4</v>
      </c>
      <c r="I165" s="15"/>
      <c r="J165" s="16"/>
      <c r="K165" s="16"/>
    </row>
    <row r="166" spans="2:11" ht="15.75" customHeight="1" x14ac:dyDescent="0.3">
      <c r="B166" s="31"/>
      <c r="C166" s="9"/>
      <c r="D166" s="9"/>
      <c r="G166" s="23" t="s">
        <v>292</v>
      </c>
      <c r="H166" s="22">
        <v>6</v>
      </c>
      <c r="I166" s="15"/>
      <c r="J166" s="16"/>
      <c r="K166" s="16"/>
    </row>
    <row r="167" spans="2:11" ht="15.75" customHeight="1" x14ac:dyDescent="0.3">
      <c r="B167" s="31"/>
      <c r="C167" s="9"/>
      <c r="D167" s="9"/>
      <c r="G167" s="23" t="s">
        <v>293</v>
      </c>
      <c r="H167" s="22">
        <v>9</v>
      </c>
      <c r="I167" s="15"/>
      <c r="J167" s="16"/>
      <c r="K167" s="16"/>
    </row>
    <row r="168" spans="2:11" ht="15.75" customHeight="1" x14ac:dyDescent="0.3">
      <c r="B168" s="31"/>
      <c r="C168" s="9"/>
      <c r="D168" s="9"/>
      <c r="G168" s="23" t="s">
        <v>294</v>
      </c>
      <c r="H168" s="22">
        <v>10</v>
      </c>
      <c r="I168" s="15"/>
      <c r="J168" s="16"/>
      <c r="K168" s="16"/>
    </row>
    <row r="169" spans="2:11" ht="15.75" customHeight="1" x14ac:dyDescent="0.3">
      <c r="B169" s="31"/>
      <c r="C169" s="9"/>
      <c r="D169" s="9"/>
      <c r="G169" s="23" t="s">
        <v>295</v>
      </c>
      <c r="H169" s="22">
        <v>18</v>
      </c>
      <c r="I169" s="15"/>
      <c r="J169" s="16"/>
      <c r="K169" s="16"/>
    </row>
    <row r="170" spans="2:11" ht="15.75" customHeight="1" x14ac:dyDescent="0.3">
      <c r="B170" s="31"/>
      <c r="C170" s="9"/>
      <c r="D170" s="9"/>
      <c r="G170" s="23" t="s">
        <v>296</v>
      </c>
      <c r="H170" s="22">
        <v>20</v>
      </c>
      <c r="I170" s="15"/>
      <c r="J170" s="16"/>
      <c r="K170" s="16"/>
    </row>
    <row r="171" spans="2:11" ht="15.75" customHeight="1" x14ac:dyDescent="0.3">
      <c r="B171" s="31"/>
      <c r="C171" s="9"/>
      <c r="D171" s="9"/>
      <c r="G171" s="23" t="s">
        <v>297</v>
      </c>
      <c r="H171" s="22">
        <v>17</v>
      </c>
      <c r="I171" s="15"/>
      <c r="J171" s="16"/>
      <c r="K171" s="16"/>
    </row>
    <row r="172" spans="2:11" ht="15.75" customHeight="1" x14ac:dyDescent="0.3">
      <c r="B172" s="31"/>
      <c r="C172" s="9"/>
      <c r="D172" s="9"/>
      <c r="G172" s="23" t="s">
        <v>298</v>
      </c>
      <c r="H172" s="22">
        <v>14</v>
      </c>
      <c r="I172" s="15"/>
      <c r="J172" s="16"/>
      <c r="K172" s="16"/>
    </row>
    <row r="173" spans="2:11" ht="15.75" customHeight="1" x14ac:dyDescent="0.3">
      <c r="B173" s="31"/>
      <c r="C173" s="9"/>
      <c r="D173" s="9"/>
      <c r="G173" s="23" t="s">
        <v>299</v>
      </c>
      <c r="H173" s="22">
        <v>7</v>
      </c>
      <c r="I173" s="15"/>
      <c r="J173" s="16"/>
      <c r="K173" s="16"/>
    </row>
    <row r="174" spans="2:11" ht="15.75" customHeight="1" x14ac:dyDescent="0.3">
      <c r="B174" s="31"/>
      <c r="C174" s="9"/>
      <c r="D174" s="9"/>
      <c r="G174" s="23" t="s">
        <v>300</v>
      </c>
      <c r="H174" s="22">
        <v>19</v>
      </c>
      <c r="I174" s="15"/>
      <c r="J174" s="16"/>
      <c r="K174" s="16"/>
    </row>
    <row r="175" spans="2:11" ht="15.75" customHeight="1" x14ac:dyDescent="0.3">
      <c r="B175" s="31"/>
      <c r="C175" s="9"/>
      <c r="D175" s="9"/>
      <c r="G175" s="23" t="s">
        <v>301</v>
      </c>
      <c r="H175" s="22">
        <v>9</v>
      </c>
      <c r="I175" s="15"/>
      <c r="J175" s="16"/>
      <c r="K175" s="16"/>
    </row>
    <row r="176" spans="2:11" ht="15.75" customHeight="1" x14ac:dyDescent="0.3">
      <c r="B176" s="31"/>
      <c r="C176" s="9"/>
      <c r="D176" s="9"/>
      <c r="G176" s="23" t="s">
        <v>302</v>
      </c>
      <c r="H176" s="22">
        <v>10</v>
      </c>
      <c r="I176" s="15"/>
      <c r="J176" s="16"/>
      <c r="K176" s="16"/>
    </row>
    <row r="177" spans="2:11" ht="15.75" customHeight="1" x14ac:dyDescent="0.3">
      <c r="B177" s="31"/>
      <c r="C177" s="9"/>
      <c r="D177" s="9"/>
      <c r="G177" s="23" t="s">
        <v>303</v>
      </c>
      <c r="H177" s="22">
        <v>13</v>
      </c>
      <c r="I177" s="15"/>
      <c r="J177" s="16"/>
      <c r="K177" s="16"/>
    </row>
    <row r="178" spans="2:11" ht="15.75" customHeight="1" x14ac:dyDescent="0.3">
      <c r="B178" s="31"/>
      <c r="C178" s="9"/>
      <c r="D178" s="9"/>
      <c r="G178" s="23" t="s">
        <v>304</v>
      </c>
      <c r="H178" s="22">
        <v>17</v>
      </c>
      <c r="I178" s="15"/>
      <c r="J178" s="16"/>
      <c r="K178" s="16"/>
    </row>
    <row r="179" spans="2:11" ht="15.75" customHeight="1" x14ac:dyDescent="0.3">
      <c r="B179" s="31"/>
      <c r="C179" s="9"/>
      <c r="D179" s="9"/>
      <c r="G179" s="23" t="s">
        <v>305</v>
      </c>
      <c r="H179" s="22">
        <v>11</v>
      </c>
      <c r="I179" s="15"/>
      <c r="J179" s="16"/>
      <c r="K179" s="16"/>
    </row>
    <row r="180" spans="2:11" ht="15.75" customHeight="1" x14ac:dyDescent="0.3">
      <c r="B180" s="31"/>
      <c r="C180" s="9"/>
      <c r="D180" s="9"/>
      <c r="G180" s="23" t="s">
        <v>306</v>
      </c>
      <c r="H180" s="22">
        <v>13</v>
      </c>
      <c r="I180" s="15"/>
      <c r="J180" s="16"/>
      <c r="K180" s="16"/>
    </row>
    <row r="181" spans="2:11" ht="15.75" customHeight="1" x14ac:dyDescent="0.3">
      <c r="B181" s="31"/>
      <c r="C181" s="9"/>
      <c r="D181" s="9"/>
      <c r="G181" s="23" t="s">
        <v>307</v>
      </c>
      <c r="H181" s="22">
        <v>7</v>
      </c>
      <c r="I181" s="15"/>
      <c r="J181" s="16"/>
      <c r="K181" s="16"/>
    </row>
    <row r="182" spans="2:11" ht="15.75" customHeight="1" x14ac:dyDescent="0.3">
      <c r="B182" s="31"/>
      <c r="C182" s="9"/>
      <c r="D182" s="9"/>
      <c r="G182" s="23" t="s">
        <v>308</v>
      </c>
      <c r="H182" s="22">
        <v>14</v>
      </c>
      <c r="I182" s="15"/>
      <c r="J182" s="16"/>
      <c r="K182" s="16"/>
    </row>
    <row r="183" spans="2:11" ht="15.75" customHeight="1" x14ac:dyDescent="0.3">
      <c r="B183" s="31"/>
      <c r="C183" s="9"/>
      <c r="D183" s="9"/>
      <c r="G183" s="23" t="s">
        <v>309</v>
      </c>
      <c r="H183" s="22">
        <v>8</v>
      </c>
      <c r="I183" s="15"/>
      <c r="J183" s="16"/>
      <c r="K183" s="16"/>
    </row>
    <row r="184" spans="2:11" ht="15.75" customHeight="1" x14ac:dyDescent="0.3">
      <c r="B184" s="31"/>
      <c r="C184" s="9"/>
      <c r="D184" s="9"/>
      <c r="G184" s="23" t="s">
        <v>310</v>
      </c>
      <c r="H184" s="22">
        <v>16</v>
      </c>
      <c r="I184" s="15"/>
      <c r="J184" s="16"/>
      <c r="K184" s="16"/>
    </row>
    <row r="185" spans="2:11" ht="15.75" customHeight="1" x14ac:dyDescent="0.3">
      <c r="B185" s="31"/>
      <c r="C185" s="9"/>
      <c r="D185" s="9"/>
      <c r="G185" s="23" t="s">
        <v>311</v>
      </c>
      <c r="H185" s="22">
        <v>12</v>
      </c>
      <c r="I185" s="15"/>
      <c r="J185" s="16"/>
      <c r="K185" s="16"/>
    </row>
    <row r="186" spans="2:11" ht="15.75" customHeight="1" x14ac:dyDescent="0.3">
      <c r="B186" s="31"/>
      <c r="C186" s="9"/>
      <c r="D186" s="9"/>
      <c r="G186" s="23" t="s">
        <v>312</v>
      </c>
      <c r="H186" s="22">
        <v>17</v>
      </c>
      <c r="I186" s="15"/>
      <c r="J186" s="16"/>
      <c r="K186" s="16"/>
    </row>
    <row r="187" spans="2:11" ht="15.75" customHeight="1" x14ac:dyDescent="0.3">
      <c r="B187" s="31"/>
      <c r="C187" s="9"/>
      <c r="D187" s="9"/>
      <c r="G187" s="23" t="s">
        <v>313</v>
      </c>
      <c r="H187" s="22">
        <v>5</v>
      </c>
      <c r="I187" s="15"/>
      <c r="J187" s="16"/>
      <c r="K187" s="16"/>
    </row>
    <row r="188" spans="2:11" ht="15.75" customHeight="1" x14ac:dyDescent="0.3">
      <c r="B188" s="31"/>
      <c r="C188" s="9"/>
      <c r="D188" s="9"/>
      <c r="G188" s="23" t="s">
        <v>314</v>
      </c>
      <c r="H188" s="22">
        <v>20</v>
      </c>
      <c r="I188" s="15"/>
      <c r="J188" s="16"/>
      <c r="K188" s="16"/>
    </row>
    <row r="189" spans="2:11" ht="15.75" customHeight="1" x14ac:dyDescent="0.3">
      <c r="B189" s="31"/>
      <c r="C189" s="9"/>
      <c r="D189" s="9"/>
      <c r="G189" s="23" t="s">
        <v>315</v>
      </c>
      <c r="H189" s="22">
        <v>17</v>
      </c>
      <c r="I189" s="15"/>
      <c r="J189" s="16"/>
      <c r="K189" s="16"/>
    </row>
    <row r="190" spans="2:11" ht="15.75" customHeight="1" x14ac:dyDescent="0.3">
      <c r="B190" s="31"/>
      <c r="C190" s="9"/>
      <c r="D190" s="9"/>
      <c r="G190" s="23" t="s">
        <v>316</v>
      </c>
      <c r="H190" s="22">
        <v>20</v>
      </c>
      <c r="I190" s="15"/>
      <c r="J190" s="16"/>
      <c r="K190" s="16"/>
    </row>
    <row r="191" spans="2:11" ht="15.75" customHeight="1" x14ac:dyDescent="0.3">
      <c r="B191" s="31"/>
      <c r="C191" s="9"/>
      <c r="D191" s="9"/>
      <c r="G191" s="23" t="s">
        <v>317</v>
      </c>
      <c r="H191" s="22">
        <v>12</v>
      </c>
      <c r="I191" s="15"/>
      <c r="J191" s="16"/>
      <c r="K191" s="16"/>
    </row>
    <row r="192" spans="2:11" ht="15.75" customHeight="1" x14ac:dyDescent="0.3">
      <c r="B192" s="31"/>
      <c r="C192" s="9"/>
      <c r="D192" s="9"/>
      <c r="G192" s="23" t="s">
        <v>318</v>
      </c>
      <c r="H192" s="22">
        <v>12</v>
      </c>
      <c r="I192" s="15"/>
      <c r="J192" s="16"/>
      <c r="K192" s="16"/>
    </row>
    <row r="193" spans="2:11" ht="15.75" customHeight="1" x14ac:dyDescent="0.3">
      <c r="B193" s="31"/>
      <c r="C193" s="9"/>
      <c r="D193" s="9"/>
      <c r="G193" s="23" t="s">
        <v>319</v>
      </c>
      <c r="H193" s="22">
        <v>15</v>
      </c>
      <c r="I193" s="15"/>
      <c r="J193" s="16"/>
      <c r="K193" s="16"/>
    </row>
    <row r="194" spans="2:11" ht="15.75" customHeight="1" x14ac:dyDescent="0.3">
      <c r="B194" s="31"/>
      <c r="C194" s="9"/>
      <c r="D194" s="9"/>
      <c r="G194" s="23" t="s">
        <v>320</v>
      </c>
      <c r="H194" s="22">
        <v>5</v>
      </c>
      <c r="I194" s="15"/>
      <c r="J194" s="16"/>
      <c r="K194" s="16"/>
    </row>
    <row r="195" spans="2:11" ht="15.75" customHeight="1" x14ac:dyDescent="0.3">
      <c r="B195" s="31"/>
      <c r="C195" s="9"/>
      <c r="D195" s="9"/>
      <c r="G195" s="23" t="s">
        <v>321</v>
      </c>
      <c r="H195" s="22">
        <v>13</v>
      </c>
      <c r="I195" s="15"/>
      <c r="J195" s="16"/>
      <c r="K195" s="16"/>
    </row>
    <row r="196" spans="2:11" ht="15.75" customHeight="1" x14ac:dyDescent="0.3">
      <c r="B196" s="31"/>
      <c r="C196" s="9"/>
      <c r="D196" s="9"/>
      <c r="G196" s="23" t="s">
        <v>322</v>
      </c>
      <c r="H196" s="22">
        <v>14</v>
      </c>
      <c r="I196" s="15"/>
      <c r="J196" s="16"/>
      <c r="K196" s="16"/>
    </row>
    <row r="197" spans="2:11" ht="15.75" customHeight="1" x14ac:dyDescent="0.3">
      <c r="B197" s="31"/>
      <c r="C197" s="9"/>
      <c r="D197" s="9"/>
      <c r="G197" s="23" t="s">
        <v>323</v>
      </c>
      <c r="H197" s="22">
        <v>13</v>
      </c>
      <c r="I197" s="15"/>
      <c r="J197" s="16"/>
      <c r="K197" s="16"/>
    </row>
    <row r="198" spans="2:11" ht="15.75" customHeight="1" x14ac:dyDescent="0.3">
      <c r="B198" s="31"/>
      <c r="C198" s="9"/>
      <c r="D198" s="9"/>
      <c r="G198" s="23" t="s">
        <v>324</v>
      </c>
      <c r="H198" s="22">
        <v>15</v>
      </c>
      <c r="I198" s="15"/>
      <c r="J198" s="16"/>
      <c r="K198" s="16"/>
    </row>
    <row r="199" spans="2:11" ht="15.75" customHeight="1" x14ac:dyDescent="0.3">
      <c r="B199" s="31"/>
      <c r="C199" s="9"/>
      <c r="D199" s="9"/>
      <c r="G199" s="23" t="s">
        <v>325</v>
      </c>
      <c r="H199" s="22">
        <v>20</v>
      </c>
      <c r="I199" s="15"/>
      <c r="J199" s="16"/>
      <c r="K199" s="16"/>
    </row>
    <row r="200" spans="2:11" ht="15.75" customHeight="1" x14ac:dyDescent="0.3">
      <c r="B200" s="31"/>
      <c r="C200" s="9"/>
      <c r="D200" s="9"/>
      <c r="G200" s="23" t="s">
        <v>326</v>
      </c>
      <c r="H200" s="22">
        <v>11</v>
      </c>
      <c r="I200" s="15"/>
      <c r="J200" s="16"/>
      <c r="K200" s="16"/>
    </row>
    <row r="201" spans="2:11" ht="15.75" customHeight="1" x14ac:dyDescent="0.3">
      <c r="B201" s="31"/>
      <c r="C201" s="9"/>
      <c r="D201" s="9"/>
      <c r="G201" s="23" t="s">
        <v>327</v>
      </c>
      <c r="H201" s="22">
        <v>7</v>
      </c>
      <c r="I201" s="15"/>
      <c r="J201" s="16"/>
      <c r="K201" s="16"/>
    </row>
    <row r="202" spans="2:11" ht="15.75" customHeight="1" x14ac:dyDescent="0.3">
      <c r="B202" s="31"/>
      <c r="C202" s="9"/>
      <c r="D202" s="9"/>
      <c r="G202" s="23" t="s">
        <v>328</v>
      </c>
      <c r="H202" s="22">
        <v>4</v>
      </c>
      <c r="I202" s="15"/>
      <c r="J202" s="16"/>
      <c r="K202" s="16"/>
    </row>
    <row r="203" spans="2:11" ht="15.75" customHeight="1" x14ac:dyDescent="0.3">
      <c r="B203" s="31"/>
      <c r="C203" s="9"/>
      <c r="D203" s="9"/>
      <c r="G203" s="23" t="s">
        <v>329</v>
      </c>
      <c r="H203" s="22">
        <v>16</v>
      </c>
      <c r="I203" s="15"/>
      <c r="J203" s="16"/>
      <c r="K203" s="16"/>
    </row>
    <row r="204" spans="2:11" ht="15.75" customHeight="1" x14ac:dyDescent="0.3">
      <c r="B204" s="31"/>
      <c r="C204" s="9"/>
      <c r="D204" s="9"/>
      <c r="G204" s="23" t="s">
        <v>330</v>
      </c>
      <c r="H204" s="22">
        <v>17</v>
      </c>
      <c r="I204" s="15"/>
      <c r="J204" s="16"/>
      <c r="K204" s="16"/>
    </row>
    <row r="205" spans="2:11" ht="15.75" customHeight="1" x14ac:dyDescent="0.3">
      <c r="B205" s="31"/>
      <c r="C205" s="9"/>
      <c r="D205" s="9"/>
      <c r="G205" s="23" t="s">
        <v>331</v>
      </c>
      <c r="H205" s="22">
        <v>20</v>
      </c>
      <c r="I205" s="15"/>
      <c r="J205" s="16"/>
      <c r="K205" s="16"/>
    </row>
    <row r="206" spans="2:11" ht="15.75" customHeight="1" x14ac:dyDescent="0.3">
      <c r="B206" s="31"/>
      <c r="C206" s="9"/>
      <c r="D206" s="9"/>
      <c r="G206" s="23" t="s">
        <v>332</v>
      </c>
      <c r="H206" s="22">
        <v>12</v>
      </c>
      <c r="I206" s="15"/>
      <c r="J206" s="16"/>
      <c r="K206" s="16"/>
    </row>
    <row r="207" spans="2:11" ht="15.75" customHeight="1" x14ac:dyDescent="0.3">
      <c r="B207" s="31"/>
      <c r="C207" s="9"/>
      <c r="D207" s="9"/>
      <c r="G207" s="23" t="s">
        <v>333</v>
      </c>
      <c r="H207" s="22">
        <v>20</v>
      </c>
      <c r="I207" s="15"/>
      <c r="J207" s="16"/>
      <c r="K207" s="16"/>
    </row>
    <row r="208" spans="2:11" ht="15.75" customHeight="1" x14ac:dyDescent="0.3">
      <c r="B208" s="31"/>
      <c r="C208" s="9"/>
      <c r="D208" s="9"/>
      <c r="G208" s="23" t="s">
        <v>334</v>
      </c>
      <c r="H208" s="22">
        <v>5</v>
      </c>
      <c r="I208" s="15"/>
      <c r="J208" s="16"/>
      <c r="K208" s="16"/>
    </row>
    <row r="209" spans="2:11" ht="15.75" customHeight="1" x14ac:dyDescent="0.3">
      <c r="B209" s="31"/>
      <c r="C209" s="9"/>
      <c r="D209" s="9"/>
      <c r="G209" s="23" t="s">
        <v>335</v>
      </c>
      <c r="H209" s="22">
        <v>15</v>
      </c>
      <c r="I209" s="15"/>
      <c r="J209" s="16"/>
      <c r="K209" s="16"/>
    </row>
    <row r="210" spans="2:11" ht="15.75" customHeight="1" x14ac:dyDescent="0.3">
      <c r="B210" s="31"/>
      <c r="C210" s="9"/>
      <c r="D210" s="9"/>
      <c r="G210" s="23" t="s">
        <v>336</v>
      </c>
      <c r="H210" s="22">
        <v>7</v>
      </c>
      <c r="I210" s="15"/>
      <c r="J210" s="16"/>
      <c r="K210" s="16"/>
    </row>
    <row r="211" spans="2:11" ht="15.75" customHeight="1" x14ac:dyDescent="0.3">
      <c r="B211" s="31"/>
      <c r="C211" s="9"/>
      <c r="D211" s="9"/>
      <c r="G211" s="23" t="s">
        <v>337</v>
      </c>
      <c r="H211" s="22">
        <v>4</v>
      </c>
      <c r="I211" s="15"/>
      <c r="J211" s="16"/>
      <c r="K211" s="16"/>
    </row>
    <row r="212" spans="2:11" ht="15.75" customHeight="1" x14ac:dyDescent="0.3">
      <c r="B212" s="31"/>
      <c r="C212" s="9"/>
      <c r="D212" s="9"/>
      <c r="G212" s="23" t="s">
        <v>338</v>
      </c>
      <c r="H212" s="22">
        <v>14</v>
      </c>
      <c r="I212" s="15"/>
      <c r="J212" s="16"/>
      <c r="K212" s="16"/>
    </row>
    <row r="213" spans="2:11" ht="15.75" customHeight="1" x14ac:dyDescent="0.3">
      <c r="B213" s="31"/>
      <c r="C213" s="9"/>
      <c r="D213" s="9"/>
      <c r="G213" s="23" t="s">
        <v>339</v>
      </c>
      <c r="H213" s="22">
        <v>16</v>
      </c>
      <c r="I213" s="15"/>
      <c r="J213" s="16"/>
      <c r="K213" s="16"/>
    </row>
    <row r="214" spans="2:11" ht="15.75" customHeight="1" x14ac:dyDescent="0.3">
      <c r="B214" s="31"/>
      <c r="C214" s="9"/>
      <c r="D214" s="9"/>
      <c r="G214" s="23" t="s">
        <v>340</v>
      </c>
      <c r="H214" s="22">
        <v>13</v>
      </c>
      <c r="I214" s="15"/>
      <c r="J214" s="16"/>
      <c r="K214" s="16"/>
    </row>
    <row r="215" spans="2:11" ht="15.75" customHeight="1" x14ac:dyDescent="0.3">
      <c r="B215" s="31"/>
      <c r="C215" s="9"/>
      <c r="D215" s="9"/>
      <c r="G215" s="23" t="s">
        <v>341</v>
      </c>
      <c r="H215" s="22">
        <v>12</v>
      </c>
      <c r="I215" s="15"/>
      <c r="J215" s="16"/>
      <c r="K215" s="16"/>
    </row>
    <row r="216" spans="2:11" ht="15.75" customHeight="1" x14ac:dyDescent="0.3">
      <c r="B216" s="31"/>
      <c r="C216" s="9"/>
      <c r="D216" s="9"/>
      <c r="G216" s="23" t="s">
        <v>342</v>
      </c>
      <c r="H216" s="22">
        <v>17</v>
      </c>
      <c r="I216" s="15"/>
      <c r="J216" s="16"/>
      <c r="K216" s="16"/>
    </row>
    <row r="217" spans="2:11" ht="15.75" customHeight="1" x14ac:dyDescent="0.3">
      <c r="B217" s="31"/>
      <c r="C217" s="9"/>
      <c r="D217" s="9"/>
      <c r="G217" s="23" t="s">
        <v>343</v>
      </c>
      <c r="H217" s="22">
        <v>14</v>
      </c>
      <c r="I217" s="15"/>
      <c r="J217" s="16"/>
      <c r="K217" s="16"/>
    </row>
    <row r="218" spans="2:11" ht="15.75" customHeight="1" x14ac:dyDescent="0.3">
      <c r="B218" s="31"/>
      <c r="C218" s="9"/>
      <c r="D218" s="9"/>
      <c r="G218" s="23" t="s">
        <v>344</v>
      </c>
      <c r="H218" s="22">
        <v>4</v>
      </c>
      <c r="I218" s="15"/>
      <c r="J218" s="16"/>
      <c r="K218" s="16"/>
    </row>
    <row r="219" spans="2:11" ht="15.75" customHeight="1" x14ac:dyDescent="0.3">
      <c r="B219" s="31"/>
      <c r="C219" s="9"/>
      <c r="D219" s="9"/>
      <c r="G219" s="23" t="s">
        <v>345</v>
      </c>
      <c r="H219" s="22">
        <v>5</v>
      </c>
      <c r="I219" s="15"/>
      <c r="J219" s="16"/>
      <c r="K219" s="16"/>
    </row>
    <row r="220" spans="2:11" ht="15.75" customHeight="1" x14ac:dyDescent="0.3">
      <c r="B220" s="31"/>
      <c r="C220" s="9"/>
      <c r="D220" s="9"/>
      <c r="G220" s="23" t="s">
        <v>346</v>
      </c>
      <c r="H220" s="22">
        <v>6</v>
      </c>
      <c r="I220" s="15"/>
      <c r="J220" s="16"/>
      <c r="K220" s="16"/>
    </row>
    <row r="221" spans="2:11" ht="15.75" customHeight="1" x14ac:dyDescent="0.3">
      <c r="B221" s="31"/>
      <c r="C221" s="9"/>
      <c r="D221" s="9"/>
      <c r="G221" s="23" t="s">
        <v>347</v>
      </c>
      <c r="H221" s="22">
        <v>19</v>
      </c>
      <c r="I221" s="15"/>
      <c r="J221" s="16"/>
      <c r="K221" s="16"/>
    </row>
    <row r="222" spans="2:11" ht="15.75" customHeight="1" x14ac:dyDescent="0.3">
      <c r="B222" s="31"/>
      <c r="C222" s="9"/>
      <c r="D222" s="9"/>
      <c r="G222" s="23" t="s">
        <v>348</v>
      </c>
      <c r="H222" s="22">
        <v>19</v>
      </c>
      <c r="I222" s="15"/>
      <c r="J222" s="16"/>
      <c r="K222" s="16"/>
    </row>
    <row r="223" spans="2:11" ht="15.75" customHeight="1" x14ac:dyDescent="0.3">
      <c r="B223" s="31"/>
      <c r="C223" s="9"/>
      <c r="D223" s="9"/>
      <c r="G223" s="23" t="s">
        <v>349</v>
      </c>
      <c r="H223" s="22">
        <v>7</v>
      </c>
      <c r="I223" s="15"/>
      <c r="J223" s="16"/>
      <c r="K223" s="16"/>
    </row>
    <row r="224" spans="2:11" ht="15.75" customHeight="1" x14ac:dyDescent="0.3">
      <c r="B224" s="31"/>
      <c r="C224" s="9"/>
      <c r="D224" s="9"/>
      <c r="G224" s="23" t="s">
        <v>350</v>
      </c>
      <c r="H224" s="22">
        <v>13</v>
      </c>
      <c r="I224" s="15"/>
      <c r="J224" s="16"/>
      <c r="K224" s="16"/>
    </row>
    <row r="225" spans="2:11" ht="15.75" customHeight="1" x14ac:dyDescent="0.3">
      <c r="B225" s="31"/>
      <c r="C225" s="9"/>
      <c r="D225" s="9"/>
      <c r="G225" s="23" t="s">
        <v>351</v>
      </c>
      <c r="H225" s="22">
        <v>16</v>
      </c>
      <c r="I225" s="15"/>
      <c r="J225" s="16"/>
      <c r="K225" s="16"/>
    </row>
    <row r="226" spans="2:11" ht="15.75" customHeight="1" x14ac:dyDescent="0.3">
      <c r="B226" s="31"/>
      <c r="C226" s="9"/>
      <c r="D226" s="9"/>
      <c r="G226" s="23" t="s">
        <v>352</v>
      </c>
      <c r="H226" s="22">
        <v>10</v>
      </c>
      <c r="I226" s="15"/>
      <c r="J226" s="16"/>
      <c r="K226" s="16"/>
    </row>
    <row r="227" spans="2:11" ht="15.75" customHeight="1" x14ac:dyDescent="0.3">
      <c r="B227" s="31"/>
      <c r="C227" s="9"/>
      <c r="D227" s="9"/>
      <c r="G227" s="23" t="s">
        <v>353</v>
      </c>
      <c r="H227" s="22">
        <v>10</v>
      </c>
      <c r="I227" s="15"/>
      <c r="J227" s="16"/>
      <c r="K227" s="16"/>
    </row>
    <row r="228" spans="2:11" ht="15.75" customHeight="1" x14ac:dyDescent="0.3">
      <c r="B228" s="31"/>
      <c r="C228" s="9"/>
      <c r="D228" s="9"/>
      <c r="G228" s="23" t="s">
        <v>354</v>
      </c>
      <c r="H228" s="22">
        <v>15</v>
      </c>
      <c r="I228" s="15"/>
      <c r="J228" s="16"/>
      <c r="K228" s="16"/>
    </row>
    <row r="229" spans="2:11" ht="15.75" customHeight="1" x14ac:dyDescent="0.3">
      <c r="B229" s="31"/>
      <c r="C229" s="9"/>
      <c r="D229" s="9"/>
      <c r="G229" s="23" t="s">
        <v>355</v>
      </c>
      <c r="H229" s="22">
        <v>8</v>
      </c>
      <c r="I229" s="15"/>
      <c r="J229" s="16"/>
      <c r="K229" s="16"/>
    </row>
    <row r="230" spans="2:11" ht="15.75" customHeight="1" x14ac:dyDescent="0.3">
      <c r="B230" s="31"/>
      <c r="C230" s="9"/>
      <c r="D230" s="9"/>
      <c r="G230" s="23" t="s">
        <v>356</v>
      </c>
      <c r="H230" s="22">
        <v>11</v>
      </c>
      <c r="I230" s="15"/>
      <c r="J230" s="16"/>
      <c r="K230" s="16"/>
    </row>
    <row r="231" spans="2:11" ht="15.75" customHeight="1" x14ac:dyDescent="0.3">
      <c r="B231" s="31"/>
      <c r="C231" s="9"/>
      <c r="D231" s="9"/>
      <c r="G231" s="23" t="s">
        <v>357</v>
      </c>
      <c r="H231" s="22">
        <v>9</v>
      </c>
      <c r="I231" s="15"/>
      <c r="J231" s="16"/>
      <c r="K231" s="16"/>
    </row>
    <row r="232" spans="2:11" ht="15.75" customHeight="1" x14ac:dyDescent="0.3">
      <c r="B232" s="31"/>
      <c r="C232" s="9"/>
      <c r="D232" s="9"/>
      <c r="G232" s="23" t="s">
        <v>358</v>
      </c>
      <c r="H232" s="22">
        <v>9</v>
      </c>
      <c r="I232" s="15"/>
      <c r="J232" s="16"/>
      <c r="K232" s="16"/>
    </row>
    <row r="233" spans="2:11" ht="15.75" customHeight="1" x14ac:dyDescent="0.3">
      <c r="B233" s="31"/>
      <c r="C233" s="9"/>
      <c r="D233" s="9"/>
      <c r="G233" s="23" t="s">
        <v>359</v>
      </c>
      <c r="H233" s="22">
        <v>5</v>
      </c>
      <c r="I233" s="15"/>
      <c r="J233" s="16"/>
      <c r="K233" s="16"/>
    </row>
    <row r="234" spans="2:11" ht="15.75" customHeight="1" x14ac:dyDescent="0.3">
      <c r="B234" s="31"/>
      <c r="C234" s="9"/>
      <c r="D234" s="9"/>
      <c r="G234" s="23" t="s">
        <v>360</v>
      </c>
      <c r="H234" s="22">
        <v>15</v>
      </c>
      <c r="I234" s="15"/>
      <c r="J234" s="16"/>
      <c r="K234" s="16"/>
    </row>
    <row r="235" spans="2:11" ht="15.75" customHeight="1" x14ac:dyDescent="0.3">
      <c r="B235" s="31"/>
      <c r="C235" s="9"/>
      <c r="D235" s="9"/>
      <c r="G235" s="23" t="s">
        <v>361</v>
      </c>
      <c r="H235" s="22">
        <v>5</v>
      </c>
      <c r="I235" s="15"/>
      <c r="J235" s="16"/>
      <c r="K235" s="16"/>
    </row>
    <row r="236" spans="2:11" ht="15.75" customHeight="1" x14ac:dyDescent="0.3">
      <c r="B236" s="31"/>
      <c r="C236" s="9"/>
      <c r="D236" s="9"/>
      <c r="G236" s="23" t="s">
        <v>362</v>
      </c>
      <c r="H236" s="22">
        <v>12</v>
      </c>
      <c r="I236" s="15"/>
      <c r="J236" s="16"/>
      <c r="K236" s="16"/>
    </row>
    <row r="237" spans="2:11" ht="15.75" customHeight="1" x14ac:dyDescent="0.3">
      <c r="B237" s="31"/>
      <c r="C237" s="9"/>
      <c r="D237" s="9"/>
      <c r="G237" s="23" t="s">
        <v>363</v>
      </c>
      <c r="H237" s="22">
        <v>13</v>
      </c>
      <c r="I237" s="15"/>
      <c r="J237" s="16"/>
      <c r="K237" s="16"/>
    </row>
    <row r="238" spans="2:11" ht="15.75" customHeight="1" x14ac:dyDescent="0.3">
      <c r="B238" s="31"/>
      <c r="C238" s="9"/>
      <c r="D238" s="9"/>
      <c r="G238" s="23" t="s">
        <v>364</v>
      </c>
      <c r="H238" s="22">
        <v>17</v>
      </c>
      <c r="I238" s="15"/>
      <c r="J238" s="16"/>
      <c r="K238" s="16"/>
    </row>
    <row r="239" spans="2:11" ht="15.75" customHeight="1" x14ac:dyDescent="0.3">
      <c r="B239" s="31"/>
      <c r="C239" s="9"/>
      <c r="D239" s="9"/>
      <c r="G239" s="23" t="s">
        <v>365</v>
      </c>
      <c r="H239" s="22">
        <v>6</v>
      </c>
      <c r="I239" s="15"/>
      <c r="J239" s="16"/>
      <c r="K239" s="16"/>
    </row>
    <row r="240" spans="2:11" ht="15.75" customHeight="1" x14ac:dyDescent="0.3">
      <c r="B240" s="31"/>
      <c r="C240" s="9"/>
      <c r="D240" s="9"/>
      <c r="G240" s="23" t="s">
        <v>366</v>
      </c>
      <c r="H240" s="22">
        <v>13</v>
      </c>
      <c r="I240" s="15"/>
      <c r="J240" s="16"/>
      <c r="K240" s="16"/>
    </row>
    <row r="241" spans="2:11" ht="15.75" customHeight="1" x14ac:dyDescent="0.3">
      <c r="B241" s="31"/>
      <c r="C241" s="9"/>
      <c r="D241" s="9"/>
      <c r="G241" s="23" t="s">
        <v>367</v>
      </c>
      <c r="H241" s="22">
        <v>13</v>
      </c>
      <c r="I241" s="15"/>
      <c r="J241" s="16"/>
      <c r="K241" s="16"/>
    </row>
    <row r="242" spans="2:11" ht="15.75" customHeight="1" x14ac:dyDescent="0.3">
      <c r="B242" s="31"/>
      <c r="C242" s="9"/>
      <c r="D242" s="9"/>
      <c r="G242" s="23" t="s">
        <v>368</v>
      </c>
      <c r="H242" s="22">
        <v>16</v>
      </c>
      <c r="I242" s="15"/>
      <c r="J242" s="16"/>
      <c r="K242" s="16"/>
    </row>
    <row r="243" spans="2:11" ht="15.75" customHeight="1" x14ac:dyDescent="0.3">
      <c r="B243" s="31"/>
      <c r="C243" s="9"/>
      <c r="D243" s="9"/>
      <c r="G243" s="23" t="s">
        <v>369</v>
      </c>
      <c r="H243" s="22">
        <v>18</v>
      </c>
      <c r="I243" s="15"/>
      <c r="J243" s="16"/>
      <c r="K243" s="16"/>
    </row>
    <row r="244" spans="2:11" ht="15.75" customHeight="1" x14ac:dyDescent="0.3">
      <c r="B244" s="31"/>
      <c r="C244" s="9"/>
      <c r="D244" s="9"/>
      <c r="G244" s="23" t="s">
        <v>370</v>
      </c>
      <c r="H244" s="22">
        <v>20</v>
      </c>
      <c r="I244" s="15"/>
      <c r="J244" s="16"/>
      <c r="K244" s="16"/>
    </row>
    <row r="245" spans="2:11" ht="15.75" customHeight="1" x14ac:dyDescent="0.3">
      <c r="B245" s="31"/>
      <c r="C245" s="9"/>
      <c r="D245" s="9"/>
      <c r="G245" s="23" t="s">
        <v>371</v>
      </c>
      <c r="H245" s="22">
        <v>8</v>
      </c>
      <c r="I245" s="15"/>
      <c r="J245" s="16"/>
      <c r="K245" s="16"/>
    </row>
    <row r="246" spans="2:11" ht="15.75" customHeight="1" x14ac:dyDescent="0.3">
      <c r="B246" s="31"/>
      <c r="C246" s="9"/>
      <c r="D246" s="9"/>
      <c r="G246" s="23" t="s">
        <v>372</v>
      </c>
      <c r="H246" s="22">
        <v>16</v>
      </c>
      <c r="I246" s="15"/>
      <c r="J246" s="16"/>
      <c r="K246" s="16"/>
    </row>
    <row r="247" spans="2:11" ht="15.75" customHeight="1" x14ac:dyDescent="0.3">
      <c r="B247" s="31"/>
      <c r="C247" s="9"/>
      <c r="D247" s="9"/>
      <c r="G247" s="23" t="s">
        <v>373</v>
      </c>
      <c r="H247" s="22">
        <v>17</v>
      </c>
      <c r="I247" s="15"/>
      <c r="J247" s="16"/>
      <c r="K247" s="16"/>
    </row>
    <row r="248" spans="2:11" ht="15.75" customHeight="1" x14ac:dyDescent="0.3">
      <c r="B248" s="31"/>
      <c r="C248" s="9"/>
      <c r="D248" s="9"/>
      <c r="G248" s="23" t="s">
        <v>374</v>
      </c>
      <c r="H248" s="22">
        <v>11</v>
      </c>
      <c r="I248" s="15"/>
      <c r="J248" s="16"/>
      <c r="K248" s="16"/>
    </row>
    <row r="249" spans="2:11" ht="15.75" customHeight="1" x14ac:dyDescent="0.3">
      <c r="B249" s="31"/>
      <c r="C249" s="9"/>
      <c r="D249" s="9"/>
      <c r="G249" s="23" t="s">
        <v>375</v>
      </c>
      <c r="H249" s="22">
        <v>9</v>
      </c>
      <c r="I249" s="15"/>
      <c r="J249" s="16"/>
      <c r="K249" s="16"/>
    </row>
    <row r="250" spans="2:11" ht="15.75" customHeight="1" x14ac:dyDescent="0.3">
      <c r="B250" s="31"/>
      <c r="C250" s="9"/>
      <c r="D250" s="9"/>
      <c r="G250" s="23" t="s">
        <v>376</v>
      </c>
      <c r="H250" s="22">
        <v>9</v>
      </c>
      <c r="I250" s="15"/>
      <c r="J250" s="16"/>
      <c r="K250" s="16"/>
    </row>
    <row r="251" spans="2:11" ht="15.75" customHeight="1" x14ac:dyDescent="0.3">
      <c r="B251" s="31"/>
      <c r="C251" s="9"/>
      <c r="D251" s="9"/>
      <c r="G251" s="23" t="s">
        <v>377</v>
      </c>
      <c r="H251" s="22">
        <v>13</v>
      </c>
      <c r="I251" s="15"/>
      <c r="J251" s="16"/>
      <c r="K251" s="16"/>
    </row>
    <row r="252" spans="2:11" ht="15.75" customHeight="1" x14ac:dyDescent="0.3">
      <c r="B252" s="31"/>
      <c r="C252" s="9"/>
      <c r="D252" s="9"/>
      <c r="G252" s="23" t="s">
        <v>378</v>
      </c>
      <c r="H252" s="22">
        <v>17</v>
      </c>
      <c r="I252" s="15"/>
      <c r="J252" s="16"/>
      <c r="K252" s="16"/>
    </row>
    <row r="253" spans="2:11" ht="15.75" customHeight="1" x14ac:dyDescent="0.3">
      <c r="B253" s="31"/>
      <c r="C253" s="9"/>
      <c r="D253" s="9"/>
      <c r="G253" s="23" t="s">
        <v>379</v>
      </c>
      <c r="H253" s="22">
        <v>8</v>
      </c>
      <c r="I253" s="15"/>
      <c r="J253" s="16"/>
      <c r="K253" s="16"/>
    </row>
    <row r="254" spans="2:11" ht="15.75" customHeight="1" x14ac:dyDescent="0.3">
      <c r="B254" s="31"/>
      <c r="C254" s="9"/>
      <c r="D254" s="9"/>
      <c r="G254" s="23" t="s">
        <v>380</v>
      </c>
      <c r="H254" s="22">
        <v>19</v>
      </c>
      <c r="I254" s="15"/>
      <c r="J254" s="16"/>
      <c r="K254" s="16"/>
    </row>
    <row r="255" spans="2:11" ht="15.75" customHeight="1" x14ac:dyDescent="0.3">
      <c r="B255" s="31"/>
      <c r="C255" s="9"/>
      <c r="D255" s="9"/>
      <c r="G255" s="23" t="s">
        <v>381</v>
      </c>
      <c r="H255" s="22">
        <v>9</v>
      </c>
      <c r="I255" s="15"/>
      <c r="J255" s="16"/>
      <c r="K255" s="16"/>
    </row>
    <row r="256" spans="2:11" ht="15.75" customHeight="1" x14ac:dyDescent="0.3">
      <c r="B256" s="31"/>
      <c r="C256" s="9"/>
      <c r="D256" s="9"/>
      <c r="G256" s="23" t="s">
        <v>382</v>
      </c>
      <c r="H256" s="22">
        <v>19</v>
      </c>
      <c r="I256" s="15"/>
      <c r="J256" s="16"/>
      <c r="K256" s="16"/>
    </row>
    <row r="257" spans="2:11" ht="15.75" customHeight="1" x14ac:dyDescent="0.3">
      <c r="B257" s="31"/>
      <c r="C257" s="9"/>
      <c r="D257" s="9"/>
      <c r="G257" s="23" t="s">
        <v>383</v>
      </c>
      <c r="H257" s="22">
        <v>10</v>
      </c>
      <c r="I257" s="15"/>
      <c r="J257" s="16"/>
      <c r="K257" s="16"/>
    </row>
    <row r="258" spans="2:11" ht="15.75" customHeight="1" x14ac:dyDescent="0.3">
      <c r="B258" s="31"/>
      <c r="C258" s="9"/>
      <c r="D258" s="9"/>
      <c r="G258" s="23" t="s">
        <v>384</v>
      </c>
      <c r="H258" s="22">
        <v>11</v>
      </c>
      <c r="I258" s="15"/>
      <c r="J258" s="16"/>
      <c r="K258" s="16"/>
    </row>
    <row r="259" spans="2:11" ht="15.75" customHeight="1" x14ac:dyDescent="0.3">
      <c r="B259" s="31"/>
      <c r="C259" s="9"/>
      <c r="D259" s="9"/>
      <c r="G259" s="23" t="s">
        <v>385</v>
      </c>
      <c r="H259" s="22">
        <v>15</v>
      </c>
      <c r="I259" s="15"/>
      <c r="J259" s="16"/>
      <c r="K259" s="16"/>
    </row>
    <row r="260" spans="2:11" ht="15.75" customHeight="1" x14ac:dyDescent="0.3">
      <c r="B260" s="31"/>
      <c r="C260" s="9"/>
      <c r="D260" s="9"/>
      <c r="G260" s="23" t="s">
        <v>386</v>
      </c>
      <c r="H260" s="22">
        <v>17</v>
      </c>
      <c r="I260" s="15"/>
      <c r="J260" s="16"/>
      <c r="K260" s="16"/>
    </row>
    <row r="261" spans="2:11" ht="15.75" customHeight="1" x14ac:dyDescent="0.3">
      <c r="B261" s="31"/>
      <c r="C261" s="9"/>
      <c r="D261" s="9"/>
      <c r="G261" s="23" t="s">
        <v>387</v>
      </c>
      <c r="H261" s="22">
        <v>12</v>
      </c>
      <c r="I261" s="15"/>
      <c r="J261" s="16"/>
      <c r="K261" s="16"/>
    </row>
    <row r="262" spans="2:11" ht="15.75" customHeight="1" x14ac:dyDescent="0.3">
      <c r="B262" s="31"/>
      <c r="C262" s="9"/>
      <c r="D262" s="9"/>
      <c r="G262" s="23" t="s">
        <v>388</v>
      </c>
      <c r="H262" s="22">
        <v>16</v>
      </c>
      <c r="I262" s="15"/>
      <c r="J262" s="16"/>
      <c r="K262" s="16"/>
    </row>
    <row r="263" spans="2:11" ht="15.75" customHeight="1" x14ac:dyDescent="0.3">
      <c r="B263" s="31"/>
      <c r="C263" s="9"/>
      <c r="D263" s="9"/>
      <c r="G263" s="23" t="s">
        <v>389</v>
      </c>
      <c r="H263" s="22">
        <v>14</v>
      </c>
      <c r="I263" s="15"/>
      <c r="J263" s="16"/>
      <c r="K263" s="16"/>
    </row>
    <row r="264" spans="2:11" ht="15.75" customHeight="1" x14ac:dyDescent="0.3">
      <c r="B264" s="31"/>
      <c r="C264" s="9"/>
      <c r="D264" s="9"/>
      <c r="G264" s="23" t="s">
        <v>390</v>
      </c>
      <c r="H264" s="22">
        <v>7</v>
      </c>
      <c r="I264" s="15"/>
      <c r="J264" s="16"/>
      <c r="K264" s="16"/>
    </row>
    <row r="265" spans="2:11" ht="15.75" customHeight="1" x14ac:dyDescent="0.3">
      <c r="B265" s="31"/>
      <c r="C265" s="9"/>
      <c r="D265" s="9"/>
      <c r="G265" s="23" t="s">
        <v>391</v>
      </c>
      <c r="H265" s="22">
        <v>12</v>
      </c>
      <c r="I265" s="15"/>
      <c r="J265" s="16"/>
      <c r="K265" s="16"/>
    </row>
    <row r="266" spans="2:11" ht="15.75" customHeight="1" x14ac:dyDescent="0.3">
      <c r="B266" s="31"/>
      <c r="C266" s="9"/>
      <c r="D266" s="9"/>
      <c r="G266" s="23" t="s">
        <v>392</v>
      </c>
      <c r="H266" s="22">
        <v>4</v>
      </c>
      <c r="I266" s="15"/>
      <c r="J266" s="16"/>
      <c r="K266" s="16"/>
    </row>
    <row r="267" spans="2:11" ht="15.75" customHeight="1" x14ac:dyDescent="0.3">
      <c r="B267" s="31"/>
      <c r="C267" s="9"/>
      <c r="D267" s="9"/>
      <c r="G267" s="23" t="s">
        <v>393</v>
      </c>
      <c r="H267" s="22">
        <v>8</v>
      </c>
      <c r="I267" s="15"/>
      <c r="J267" s="16"/>
      <c r="K267" s="16"/>
    </row>
    <row r="268" spans="2:11" ht="15.75" customHeight="1" x14ac:dyDescent="0.3">
      <c r="B268" s="31"/>
      <c r="C268" s="9"/>
      <c r="D268" s="9"/>
      <c r="G268" s="23" t="s">
        <v>394</v>
      </c>
      <c r="H268" s="22">
        <v>14</v>
      </c>
      <c r="I268" s="15"/>
      <c r="J268" s="16"/>
      <c r="K268" s="16"/>
    </row>
    <row r="269" spans="2:11" ht="15.75" customHeight="1" x14ac:dyDescent="0.3">
      <c r="B269" s="31"/>
      <c r="C269" s="9"/>
      <c r="D269" s="9"/>
      <c r="G269" s="23" t="s">
        <v>395</v>
      </c>
      <c r="H269" s="22">
        <v>9</v>
      </c>
      <c r="I269" s="15"/>
      <c r="J269" s="16"/>
      <c r="K269" s="16"/>
    </row>
    <row r="270" spans="2:11" ht="15.75" customHeight="1" x14ac:dyDescent="0.3">
      <c r="B270" s="31"/>
      <c r="C270" s="9"/>
      <c r="D270" s="9"/>
      <c r="G270" s="23" t="s">
        <v>396</v>
      </c>
      <c r="H270" s="22">
        <v>15</v>
      </c>
      <c r="I270" s="15"/>
      <c r="J270" s="16"/>
      <c r="K270" s="16"/>
    </row>
    <row r="271" spans="2:11" ht="15.75" customHeight="1" x14ac:dyDescent="0.3">
      <c r="B271" s="31"/>
      <c r="C271" s="9"/>
      <c r="D271" s="9"/>
      <c r="G271" s="23" t="s">
        <v>397</v>
      </c>
      <c r="H271" s="22">
        <v>15</v>
      </c>
      <c r="I271" s="15"/>
      <c r="J271" s="16"/>
      <c r="K271" s="16"/>
    </row>
    <row r="272" spans="2:11" ht="15.75" customHeight="1" x14ac:dyDescent="0.3">
      <c r="B272" s="31"/>
      <c r="C272" s="9"/>
      <c r="D272" s="9"/>
      <c r="G272" s="23" t="s">
        <v>398</v>
      </c>
      <c r="H272" s="22">
        <v>7</v>
      </c>
      <c r="I272" s="15"/>
      <c r="J272" s="16"/>
      <c r="K272" s="16"/>
    </row>
    <row r="273" spans="2:11" ht="15.75" customHeight="1" x14ac:dyDescent="0.3">
      <c r="B273" s="31"/>
      <c r="C273" s="9"/>
      <c r="D273" s="9"/>
      <c r="G273" s="23" t="s">
        <v>399</v>
      </c>
      <c r="H273" s="22">
        <v>5</v>
      </c>
      <c r="I273" s="15"/>
      <c r="J273" s="16"/>
      <c r="K273" s="16"/>
    </row>
    <row r="274" spans="2:11" ht="15.75" customHeight="1" x14ac:dyDescent="0.3">
      <c r="B274" s="31"/>
      <c r="C274" s="9"/>
      <c r="D274" s="9"/>
      <c r="G274" s="23" t="s">
        <v>400</v>
      </c>
      <c r="H274" s="22">
        <v>4</v>
      </c>
      <c r="I274" s="15"/>
      <c r="J274" s="16"/>
      <c r="K274" s="16"/>
    </row>
    <row r="275" spans="2:11" ht="15.75" customHeight="1" x14ac:dyDescent="0.3">
      <c r="B275" s="31"/>
      <c r="C275" s="9"/>
      <c r="D275" s="9"/>
      <c r="G275" s="23" t="s">
        <v>401</v>
      </c>
      <c r="H275" s="22">
        <v>6</v>
      </c>
      <c r="I275" s="15"/>
      <c r="J275" s="16"/>
      <c r="K275" s="16"/>
    </row>
    <row r="276" spans="2:11" ht="15.75" customHeight="1" x14ac:dyDescent="0.3">
      <c r="B276" s="31"/>
      <c r="C276" s="9"/>
      <c r="D276" s="9"/>
      <c r="G276" s="23" t="s">
        <v>402</v>
      </c>
      <c r="H276" s="22">
        <v>17</v>
      </c>
      <c r="I276" s="15"/>
      <c r="J276" s="16"/>
      <c r="K276" s="16"/>
    </row>
    <row r="277" spans="2:11" ht="15.75" customHeight="1" x14ac:dyDescent="0.3">
      <c r="B277" s="31"/>
      <c r="C277" s="9"/>
      <c r="D277" s="9"/>
      <c r="G277" s="23" t="s">
        <v>403</v>
      </c>
      <c r="H277" s="22">
        <v>7</v>
      </c>
      <c r="I277" s="15"/>
      <c r="J277" s="16"/>
      <c r="K277" s="16"/>
    </row>
    <row r="278" spans="2:11" ht="15.75" customHeight="1" x14ac:dyDescent="0.3">
      <c r="B278" s="31"/>
      <c r="C278" s="9"/>
      <c r="D278" s="9"/>
      <c r="G278" s="23" t="s">
        <v>404</v>
      </c>
      <c r="H278" s="22">
        <v>10</v>
      </c>
      <c r="I278" s="15"/>
      <c r="J278" s="16"/>
      <c r="K278" s="16"/>
    </row>
    <row r="279" spans="2:11" ht="15.75" customHeight="1" x14ac:dyDescent="0.3">
      <c r="B279" s="31"/>
      <c r="C279" s="9"/>
      <c r="D279" s="9"/>
      <c r="G279" s="23" t="s">
        <v>405</v>
      </c>
      <c r="H279" s="22">
        <v>15</v>
      </c>
      <c r="I279" s="15"/>
      <c r="J279" s="16"/>
      <c r="K279" s="16"/>
    </row>
    <row r="280" spans="2:11" ht="15.75" customHeight="1" x14ac:dyDescent="0.3">
      <c r="B280" s="31"/>
      <c r="C280" s="9"/>
      <c r="D280" s="9"/>
      <c r="G280" s="23" t="s">
        <v>406</v>
      </c>
      <c r="H280" s="22">
        <v>9</v>
      </c>
      <c r="I280" s="15"/>
      <c r="J280" s="16"/>
      <c r="K280" s="16"/>
    </row>
    <row r="281" spans="2:11" ht="15.75" customHeight="1" x14ac:dyDescent="0.3">
      <c r="B281" s="31"/>
      <c r="C281" s="9"/>
      <c r="D281" s="9"/>
      <c r="G281" s="23" t="s">
        <v>407</v>
      </c>
      <c r="H281" s="22">
        <v>14</v>
      </c>
      <c r="I281" s="15"/>
      <c r="J281" s="16"/>
      <c r="K281" s="16"/>
    </row>
    <row r="282" spans="2:11" ht="15.75" customHeight="1" x14ac:dyDescent="0.3">
      <c r="B282" s="31"/>
      <c r="C282" s="9"/>
      <c r="D282" s="9"/>
      <c r="G282" s="23" t="s">
        <v>408</v>
      </c>
      <c r="H282" s="22">
        <v>16</v>
      </c>
      <c r="I282" s="15"/>
      <c r="J282" s="16"/>
      <c r="K282" s="16"/>
    </row>
    <row r="283" spans="2:11" ht="15.75" customHeight="1" x14ac:dyDescent="0.3">
      <c r="B283" s="31"/>
      <c r="C283" s="9"/>
      <c r="D283" s="9"/>
      <c r="G283" s="23" t="s">
        <v>409</v>
      </c>
      <c r="H283" s="22">
        <v>20</v>
      </c>
      <c r="I283" s="15"/>
      <c r="J283" s="16"/>
      <c r="K283" s="16"/>
    </row>
    <row r="284" spans="2:11" ht="15.75" customHeight="1" x14ac:dyDescent="0.3">
      <c r="B284" s="31"/>
      <c r="C284" s="9"/>
      <c r="D284" s="9"/>
      <c r="G284" s="23" t="s">
        <v>410</v>
      </c>
      <c r="H284" s="22">
        <v>8</v>
      </c>
      <c r="I284" s="15"/>
      <c r="J284" s="16"/>
      <c r="K284" s="16"/>
    </row>
    <row r="285" spans="2:11" ht="15.75" customHeight="1" x14ac:dyDescent="0.3">
      <c r="B285" s="31"/>
      <c r="C285" s="9"/>
      <c r="D285" s="9"/>
      <c r="G285" s="23" t="s">
        <v>411</v>
      </c>
      <c r="H285" s="22">
        <v>10</v>
      </c>
      <c r="I285" s="15"/>
      <c r="J285" s="16"/>
      <c r="K285" s="16"/>
    </row>
    <row r="286" spans="2:11" ht="15.75" customHeight="1" x14ac:dyDescent="0.3">
      <c r="B286" s="31"/>
      <c r="C286" s="9"/>
      <c r="D286" s="9"/>
      <c r="G286" s="23" t="s">
        <v>412</v>
      </c>
      <c r="H286" s="22">
        <v>14</v>
      </c>
      <c r="I286" s="15"/>
      <c r="J286" s="16"/>
      <c r="K286" s="16"/>
    </row>
    <row r="287" spans="2:11" ht="15.75" customHeight="1" x14ac:dyDescent="0.3">
      <c r="B287" s="31"/>
      <c r="C287" s="9"/>
      <c r="D287" s="9"/>
      <c r="G287" s="23" t="s">
        <v>413</v>
      </c>
      <c r="H287" s="22">
        <v>10</v>
      </c>
      <c r="I287" s="15"/>
      <c r="J287" s="16"/>
      <c r="K287" s="16"/>
    </row>
    <row r="288" spans="2:11" ht="15.75" customHeight="1" x14ac:dyDescent="0.3">
      <c r="B288" s="31"/>
      <c r="C288" s="9"/>
      <c r="D288" s="9"/>
      <c r="G288" s="23" t="s">
        <v>414</v>
      </c>
      <c r="H288" s="22">
        <v>14</v>
      </c>
      <c r="I288" s="15"/>
      <c r="J288" s="16"/>
      <c r="K288" s="16"/>
    </row>
    <row r="289" spans="2:11" ht="15.75" customHeight="1" x14ac:dyDescent="0.3">
      <c r="B289" s="31"/>
      <c r="C289" s="9"/>
      <c r="D289" s="9"/>
      <c r="G289" s="23" t="s">
        <v>415</v>
      </c>
      <c r="H289" s="22">
        <v>4</v>
      </c>
      <c r="I289" s="15"/>
      <c r="J289" s="16"/>
      <c r="K289" s="16"/>
    </row>
    <row r="290" spans="2:11" ht="15.75" customHeight="1" x14ac:dyDescent="0.3">
      <c r="B290" s="31"/>
      <c r="C290" s="9"/>
      <c r="D290" s="9"/>
      <c r="G290" s="23" t="s">
        <v>416</v>
      </c>
      <c r="H290" s="22">
        <v>13</v>
      </c>
      <c r="I290" s="15"/>
      <c r="J290" s="16"/>
      <c r="K290" s="16"/>
    </row>
    <row r="291" spans="2:11" ht="15.75" customHeight="1" x14ac:dyDescent="0.3">
      <c r="B291" s="31"/>
      <c r="C291" s="9"/>
      <c r="D291" s="9"/>
      <c r="G291" s="23" t="s">
        <v>417</v>
      </c>
      <c r="H291" s="22">
        <v>9</v>
      </c>
      <c r="I291" s="15"/>
      <c r="J291" s="16"/>
      <c r="K291" s="16"/>
    </row>
    <row r="292" spans="2:11" ht="15.75" customHeight="1" x14ac:dyDescent="0.3">
      <c r="B292" s="31"/>
      <c r="C292" s="9"/>
      <c r="D292" s="9"/>
      <c r="G292" s="23" t="s">
        <v>418</v>
      </c>
      <c r="H292" s="22">
        <v>8</v>
      </c>
      <c r="I292" s="15"/>
      <c r="J292" s="16"/>
      <c r="K292" s="16"/>
    </row>
    <row r="293" spans="2:11" ht="15.75" customHeight="1" x14ac:dyDescent="0.3">
      <c r="B293" s="31"/>
      <c r="C293" s="9"/>
      <c r="D293" s="9"/>
      <c r="G293" s="23" t="s">
        <v>419</v>
      </c>
      <c r="H293" s="22">
        <v>17</v>
      </c>
      <c r="I293" s="15"/>
      <c r="J293" s="16"/>
      <c r="K293" s="16"/>
    </row>
    <row r="294" spans="2:11" ht="15.75" customHeight="1" x14ac:dyDescent="0.3">
      <c r="B294" s="31"/>
      <c r="C294" s="9"/>
      <c r="D294" s="9"/>
      <c r="G294" s="23" t="s">
        <v>420</v>
      </c>
      <c r="H294" s="22">
        <v>18</v>
      </c>
      <c r="I294" s="15"/>
      <c r="J294" s="16"/>
      <c r="K294" s="16"/>
    </row>
    <row r="295" spans="2:11" ht="15.75" customHeight="1" x14ac:dyDescent="0.3">
      <c r="B295" s="31"/>
      <c r="C295" s="9"/>
      <c r="D295" s="9"/>
      <c r="G295" s="23" t="s">
        <v>421</v>
      </c>
      <c r="H295" s="22">
        <v>4</v>
      </c>
      <c r="I295" s="15"/>
      <c r="J295" s="16"/>
      <c r="K295" s="16"/>
    </row>
    <row r="296" spans="2:11" ht="15.75" customHeight="1" x14ac:dyDescent="0.3">
      <c r="B296" s="31"/>
      <c r="C296" s="9"/>
      <c r="D296" s="9"/>
      <c r="G296" s="23" t="s">
        <v>422</v>
      </c>
      <c r="H296" s="22">
        <v>12</v>
      </c>
      <c r="I296" s="15"/>
      <c r="J296" s="16"/>
      <c r="K296" s="16"/>
    </row>
    <row r="297" spans="2:11" ht="15.75" customHeight="1" x14ac:dyDescent="0.3">
      <c r="B297" s="31"/>
      <c r="C297" s="9"/>
      <c r="D297" s="9"/>
      <c r="G297" s="23" t="s">
        <v>423</v>
      </c>
      <c r="H297" s="22">
        <v>6</v>
      </c>
      <c r="I297" s="15"/>
      <c r="J297" s="16"/>
      <c r="K297" s="16"/>
    </row>
    <row r="298" spans="2:11" ht="15.75" customHeight="1" x14ac:dyDescent="0.3">
      <c r="B298" s="31"/>
      <c r="C298" s="9"/>
      <c r="D298" s="9"/>
      <c r="G298" s="23" t="s">
        <v>424</v>
      </c>
      <c r="H298" s="22">
        <v>11</v>
      </c>
      <c r="I298" s="15"/>
      <c r="J298" s="16"/>
      <c r="K298" s="16"/>
    </row>
    <row r="299" spans="2:11" ht="15.75" customHeight="1" x14ac:dyDescent="0.3">
      <c r="B299" s="31"/>
      <c r="C299" s="9"/>
      <c r="D299" s="9"/>
      <c r="G299" s="23" t="s">
        <v>425</v>
      </c>
      <c r="H299" s="22">
        <v>9</v>
      </c>
      <c r="I299" s="15"/>
      <c r="J299" s="16"/>
      <c r="K299" s="16"/>
    </row>
    <row r="300" spans="2:11" ht="15.75" customHeight="1" x14ac:dyDescent="0.3">
      <c r="B300" s="31"/>
      <c r="C300" s="9"/>
      <c r="D300" s="9"/>
      <c r="G300" s="23" t="s">
        <v>426</v>
      </c>
      <c r="H300" s="22">
        <v>20</v>
      </c>
      <c r="I300" s="15"/>
      <c r="J300" s="16"/>
      <c r="K300" s="16"/>
    </row>
    <row r="301" spans="2:11" ht="15.75" customHeight="1" x14ac:dyDescent="0.3">
      <c r="B301" s="31"/>
      <c r="C301" s="9"/>
      <c r="D301" s="9"/>
      <c r="G301" s="23" t="s">
        <v>427</v>
      </c>
      <c r="H301" s="22">
        <v>6</v>
      </c>
      <c r="I301" s="15"/>
      <c r="J301" s="16"/>
      <c r="K301" s="16"/>
    </row>
    <row r="302" spans="2:11" ht="15.75" customHeight="1" x14ac:dyDescent="0.3">
      <c r="B302" s="31"/>
      <c r="C302" s="9"/>
      <c r="D302" s="9"/>
      <c r="G302" s="23" t="s">
        <v>428</v>
      </c>
      <c r="H302" s="22">
        <v>20</v>
      </c>
      <c r="I302" s="15"/>
      <c r="J302" s="16"/>
      <c r="K302" s="16"/>
    </row>
    <row r="303" spans="2:11" ht="15.75" customHeight="1" x14ac:dyDescent="0.3">
      <c r="B303" s="31"/>
      <c r="C303" s="9"/>
      <c r="D303" s="9"/>
      <c r="G303" s="23" t="s">
        <v>429</v>
      </c>
      <c r="H303" s="22">
        <v>20</v>
      </c>
      <c r="I303" s="15"/>
      <c r="J303" s="16"/>
      <c r="K303" s="16"/>
    </row>
    <row r="304" spans="2:11" ht="15.75" customHeight="1" x14ac:dyDescent="0.3">
      <c r="B304" s="31"/>
      <c r="C304" s="9"/>
      <c r="D304" s="9"/>
      <c r="G304" s="23" t="s">
        <v>430</v>
      </c>
      <c r="H304" s="22">
        <v>13</v>
      </c>
      <c r="I304" s="15"/>
      <c r="J304" s="16"/>
      <c r="K304" s="16"/>
    </row>
    <row r="305" spans="2:11" ht="15.75" customHeight="1" x14ac:dyDescent="0.3">
      <c r="B305" s="31"/>
      <c r="C305" s="9"/>
      <c r="D305" s="9"/>
      <c r="G305" s="23" t="s">
        <v>431</v>
      </c>
      <c r="H305" s="22">
        <v>11</v>
      </c>
      <c r="I305" s="15"/>
      <c r="J305" s="16"/>
      <c r="K305" s="16"/>
    </row>
    <row r="306" spans="2:11" ht="15.75" customHeight="1" x14ac:dyDescent="0.3">
      <c r="B306" s="31"/>
      <c r="C306" s="9"/>
      <c r="D306" s="9"/>
      <c r="G306" s="23" t="s">
        <v>432</v>
      </c>
      <c r="H306" s="22">
        <v>6</v>
      </c>
      <c r="I306" s="15"/>
      <c r="J306" s="16"/>
      <c r="K306" s="16"/>
    </row>
    <row r="307" spans="2:11" ht="15.75" customHeight="1" x14ac:dyDescent="0.3">
      <c r="B307" s="31"/>
      <c r="C307" s="9"/>
      <c r="D307" s="9"/>
      <c r="G307" s="23" t="s">
        <v>433</v>
      </c>
      <c r="H307" s="22">
        <v>5</v>
      </c>
      <c r="I307" s="15"/>
      <c r="J307" s="16"/>
      <c r="K307" s="16"/>
    </row>
    <row r="308" spans="2:11" ht="15.75" customHeight="1" x14ac:dyDescent="0.3">
      <c r="B308" s="31"/>
      <c r="C308" s="9"/>
      <c r="D308" s="9"/>
      <c r="G308" s="23" t="s">
        <v>434</v>
      </c>
      <c r="H308" s="22">
        <v>10</v>
      </c>
      <c r="I308" s="15"/>
      <c r="J308" s="16"/>
      <c r="K308" s="16"/>
    </row>
    <row r="309" spans="2:11" ht="15.75" customHeight="1" x14ac:dyDescent="0.3">
      <c r="B309" s="31"/>
      <c r="C309" s="9"/>
      <c r="D309" s="9"/>
      <c r="G309" s="23" t="s">
        <v>435</v>
      </c>
      <c r="H309" s="22">
        <v>17</v>
      </c>
      <c r="I309" s="15"/>
      <c r="J309" s="16"/>
      <c r="K309" s="16"/>
    </row>
    <row r="310" spans="2:11" ht="15.75" customHeight="1" x14ac:dyDescent="0.3">
      <c r="B310" s="31"/>
      <c r="C310" s="9"/>
      <c r="D310" s="9"/>
      <c r="G310" s="23" t="s">
        <v>436</v>
      </c>
      <c r="H310" s="22">
        <v>11</v>
      </c>
      <c r="I310" s="15"/>
      <c r="J310" s="16"/>
      <c r="K310" s="16"/>
    </row>
    <row r="311" spans="2:11" ht="15.75" customHeight="1" x14ac:dyDescent="0.3">
      <c r="B311" s="31"/>
      <c r="C311" s="9"/>
      <c r="D311" s="9"/>
      <c r="G311" s="23" t="s">
        <v>437</v>
      </c>
      <c r="H311" s="22">
        <v>14</v>
      </c>
      <c r="I311" s="15"/>
      <c r="J311" s="16"/>
      <c r="K311" s="16"/>
    </row>
    <row r="312" spans="2:11" ht="15.75" customHeight="1" x14ac:dyDescent="0.3">
      <c r="B312" s="31"/>
      <c r="C312" s="9"/>
      <c r="D312" s="9"/>
      <c r="G312" s="23" t="s">
        <v>438</v>
      </c>
      <c r="H312" s="22">
        <v>4</v>
      </c>
      <c r="I312" s="15"/>
      <c r="J312" s="16"/>
      <c r="K312" s="16"/>
    </row>
    <row r="313" spans="2:11" ht="15.75" customHeight="1" x14ac:dyDescent="0.3">
      <c r="B313" s="31"/>
      <c r="C313" s="9"/>
      <c r="D313" s="9"/>
      <c r="G313" s="23" t="s">
        <v>439</v>
      </c>
      <c r="H313" s="22">
        <v>5</v>
      </c>
      <c r="I313" s="15"/>
      <c r="J313" s="16"/>
      <c r="K313" s="16"/>
    </row>
    <row r="314" spans="2:11" ht="15.75" customHeight="1" x14ac:dyDescent="0.3">
      <c r="B314" s="31"/>
      <c r="C314" s="9"/>
      <c r="D314" s="9"/>
      <c r="G314" s="23" t="s">
        <v>440</v>
      </c>
      <c r="H314" s="22">
        <v>13</v>
      </c>
      <c r="I314" s="15"/>
      <c r="J314" s="16"/>
      <c r="K314" s="16"/>
    </row>
    <row r="315" spans="2:11" ht="15.75" customHeight="1" x14ac:dyDescent="0.3">
      <c r="B315" s="31"/>
      <c r="C315" s="9"/>
      <c r="D315" s="9"/>
      <c r="G315" s="23" t="s">
        <v>441</v>
      </c>
      <c r="H315" s="22">
        <v>20</v>
      </c>
      <c r="I315" s="15"/>
      <c r="J315" s="16"/>
      <c r="K315" s="16"/>
    </row>
    <row r="316" spans="2:11" ht="15.75" customHeight="1" x14ac:dyDescent="0.3">
      <c r="B316" s="31"/>
      <c r="C316" s="9"/>
      <c r="D316" s="9"/>
      <c r="G316" s="23" t="s">
        <v>442</v>
      </c>
      <c r="H316" s="22">
        <v>8</v>
      </c>
      <c r="I316" s="15"/>
      <c r="J316" s="16"/>
      <c r="K316" s="16"/>
    </row>
    <row r="317" spans="2:11" ht="15.75" customHeight="1" x14ac:dyDescent="0.3">
      <c r="B317" s="31"/>
      <c r="C317" s="9"/>
      <c r="D317" s="9"/>
      <c r="G317" s="23" t="s">
        <v>443</v>
      </c>
      <c r="H317" s="22">
        <v>11</v>
      </c>
      <c r="I317" s="15"/>
      <c r="J317" s="16"/>
      <c r="K317" s="16"/>
    </row>
    <row r="318" spans="2:11" ht="15.75" customHeight="1" x14ac:dyDescent="0.3">
      <c r="B318" s="31"/>
      <c r="C318" s="9"/>
      <c r="D318" s="9"/>
      <c r="G318" s="23" t="s">
        <v>444</v>
      </c>
      <c r="H318" s="22">
        <v>18</v>
      </c>
      <c r="I318" s="15"/>
      <c r="J318" s="16"/>
      <c r="K318" s="16"/>
    </row>
    <row r="319" spans="2:11" ht="15.75" customHeight="1" x14ac:dyDescent="0.3">
      <c r="B319" s="31"/>
      <c r="C319" s="9"/>
      <c r="D319" s="9"/>
      <c r="G319" s="23" t="s">
        <v>445</v>
      </c>
      <c r="H319" s="22">
        <v>17</v>
      </c>
      <c r="I319" s="15"/>
      <c r="J319" s="16"/>
      <c r="K319" s="16"/>
    </row>
    <row r="320" spans="2:11" ht="15.75" customHeight="1" x14ac:dyDescent="0.3">
      <c r="B320" s="31"/>
      <c r="C320" s="9"/>
      <c r="D320" s="9"/>
      <c r="G320" s="23" t="s">
        <v>446</v>
      </c>
      <c r="H320" s="22">
        <v>14</v>
      </c>
      <c r="I320" s="15"/>
      <c r="J320" s="16"/>
      <c r="K320" s="16"/>
    </row>
    <row r="321" spans="2:11" ht="15.75" customHeight="1" x14ac:dyDescent="0.3">
      <c r="B321" s="31"/>
      <c r="C321" s="9"/>
      <c r="D321" s="9"/>
      <c r="G321" s="23" t="s">
        <v>447</v>
      </c>
      <c r="H321" s="22">
        <v>9</v>
      </c>
      <c r="I321" s="15"/>
      <c r="J321" s="16"/>
      <c r="K321" s="16"/>
    </row>
    <row r="322" spans="2:11" ht="15.75" customHeight="1" x14ac:dyDescent="0.3">
      <c r="B322" s="31"/>
      <c r="C322" s="9"/>
      <c r="D322" s="9"/>
      <c r="G322" s="23" t="s">
        <v>448</v>
      </c>
      <c r="H322" s="22">
        <v>5</v>
      </c>
      <c r="I322" s="15"/>
      <c r="J322" s="16"/>
      <c r="K322" s="16"/>
    </row>
    <row r="323" spans="2:11" ht="15.75" customHeight="1" x14ac:dyDescent="0.3">
      <c r="B323" s="31"/>
      <c r="C323" s="9"/>
      <c r="D323" s="9"/>
      <c r="G323" s="23" t="s">
        <v>449</v>
      </c>
      <c r="H323" s="22">
        <v>12</v>
      </c>
      <c r="I323" s="15"/>
      <c r="J323" s="16"/>
      <c r="K323" s="16"/>
    </row>
    <row r="324" spans="2:11" ht="15.75" customHeight="1" x14ac:dyDescent="0.3">
      <c r="B324" s="31"/>
      <c r="C324" s="9"/>
      <c r="D324" s="9"/>
      <c r="G324" s="23" t="s">
        <v>450</v>
      </c>
      <c r="H324" s="22">
        <v>8</v>
      </c>
      <c r="I324" s="15"/>
      <c r="J324" s="16"/>
      <c r="K324" s="16"/>
    </row>
    <row r="325" spans="2:11" ht="15.75" customHeight="1" x14ac:dyDescent="0.3">
      <c r="B325" s="31"/>
      <c r="C325" s="9"/>
      <c r="D325" s="9"/>
      <c r="G325" s="23" t="s">
        <v>451</v>
      </c>
      <c r="H325" s="22">
        <v>5</v>
      </c>
      <c r="I325" s="15"/>
      <c r="J325" s="16"/>
      <c r="K325" s="16"/>
    </row>
    <row r="326" spans="2:11" ht="15.75" customHeight="1" x14ac:dyDescent="0.3">
      <c r="B326" s="31"/>
      <c r="C326" s="9"/>
      <c r="D326" s="9"/>
      <c r="G326" s="23" t="s">
        <v>452</v>
      </c>
      <c r="H326" s="22">
        <v>17</v>
      </c>
      <c r="I326" s="15"/>
      <c r="J326" s="16"/>
      <c r="K326" s="16"/>
    </row>
    <row r="327" spans="2:11" ht="15.75" customHeight="1" x14ac:dyDescent="0.3">
      <c r="B327" s="31"/>
      <c r="C327" s="9"/>
      <c r="D327" s="9"/>
      <c r="G327" s="23" t="s">
        <v>453</v>
      </c>
      <c r="H327" s="22">
        <v>7</v>
      </c>
      <c r="I327" s="15"/>
      <c r="J327" s="16"/>
      <c r="K327" s="16"/>
    </row>
    <row r="328" spans="2:11" ht="15.75" customHeight="1" x14ac:dyDescent="0.3">
      <c r="B328" s="31"/>
      <c r="C328" s="9"/>
      <c r="D328" s="9"/>
      <c r="G328" s="23" t="s">
        <v>454</v>
      </c>
      <c r="H328" s="22">
        <v>11</v>
      </c>
      <c r="I328" s="15"/>
      <c r="J328" s="16"/>
      <c r="K328" s="16"/>
    </row>
    <row r="329" spans="2:11" ht="15.75" customHeight="1" x14ac:dyDescent="0.3">
      <c r="B329" s="31"/>
      <c r="C329" s="9"/>
      <c r="D329" s="9"/>
      <c r="G329" s="23" t="s">
        <v>455</v>
      </c>
      <c r="H329" s="22">
        <v>4</v>
      </c>
      <c r="I329" s="15"/>
      <c r="J329" s="16"/>
      <c r="K329" s="16"/>
    </row>
    <row r="330" spans="2:11" ht="15.75" customHeight="1" x14ac:dyDescent="0.3">
      <c r="B330" s="31"/>
      <c r="C330" s="9"/>
      <c r="D330" s="9"/>
      <c r="G330" s="23" t="s">
        <v>456</v>
      </c>
      <c r="H330" s="22">
        <v>11</v>
      </c>
      <c r="I330" s="15"/>
      <c r="J330" s="16"/>
      <c r="K330" s="16"/>
    </row>
    <row r="331" spans="2:11" ht="15.75" customHeight="1" x14ac:dyDescent="0.3">
      <c r="B331" s="31"/>
      <c r="C331" s="9"/>
      <c r="D331" s="9"/>
      <c r="G331" s="23" t="s">
        <v>457</v>
      </c>
      <c r="H331" s="22">
        <v>10</v>
      </c>
      <c r="I331" s="15"/>
      <c r="J331" s="16"/>
      <c r="K331" s="16"/>
    </row>
    <row r="332" spans="2:11" ht="15.75" customHeight="1" x14ac:dyDescent="0.3">
      <c r="B332" s="31"/>
      <c r="C332" s="9"/>
      <c r="D332" s="9"/>
      <c r="G332" s="23" t="s">
        <v>458</v>
      </c>
      <c r="H332" s="22">
        <v>5</v>
      </c>
      <c r="I332" s="15"/>
      <c r="J332" s="16"/>
      <c r="K332" s="16"/>
    </row>
    <row r="333" spans="2:11" ht="15.75" customHeight="1" x14ac:dyDescent="0.3">
      <c r="B333" s="31"/>
      <c r="C333" s="9"/>
      <c r="D333" s="9"/>
      <c r="G333" s="23" t="s">
        <v>459</v>
      </c>
      <c r="H333" s="22">
        <v>17</v>
      </c>
      <c r="I333" s="15"/>
      <c r="J333" s="16"/>
      <c r="K333" s="16"/>
    </row>
    <row r="334" spans="2:11" ht="15.75" customHeight="1" x14ac:dyDescent="0.3">
      <c r="B334" s="31"/>
      <c r="C334" s="9"/>
      <c r="D334" s="9"/>
      <c r="G334" s="23" t="s">
        <v>460</v>
      </c>
      <c r="H334" s="22">
        <v>11</v>
      </c>
      <c r="I334" s="15"/>
      <c r="J334" s="16"/>
      <c r="K334" s="16"/>
    </row>
    <row r="335" spans="2:11" ht="15.75" customHeight="1" x14ac:dyDescent="0.3">
      <c r="B335" s="31"/>
      <c r="C335" s="9"/>
      <c r="D335" s="9"/>
      <c r="G335" s="23" t="s">
        <v>461</v>
      </c>
      <c r="H335" s="22">
        <v>13</v>
      </c>
      <c r="I335" s="15"/>
      <c r="J335" s="16"/>
      <c r="K335" s="16"/>
    </row>
    <row r="336" spans="2:11" ht="15.75" customHeight="1" x14ac:dyDescent="0.3">
      <c r="B336" s="31"/>
      <c r="C336" s="9"/>
      <c r="D336" s="9"/>
      <c r="G336" s="23" t="s">
        <v>462</v>
      </c>
      <c r="H336" s="22">
        <v>20</v>
      </c>
      <c r="I336" s="15"/>
      <c r="J336" s="16"/>
      <c r="K336" s="16"/>
    </row>
    <row r="337" spans="2:11" ht="15.75" customHeight="1" x14ac:dyDescent="0.3">
      <c r="B337" s="31"/>
      <c r="C337" s="9"/>
      <c r="D337" s="9"/>
      <c r="G337" s="23" t="s">
        <v>463</v>
      </c>
      <c r="H337" s="22">
        <v>18</v>
      </c>
      <c r="I337" s="15"/>
      <c r="J337" s="16"/>
      <c r="K337" s="16"/>
    </row>
    <row r="338" spans="2:11" ht="15.75" customHeight="1" x14ac:dyDescent="0.3">
      <c r="B338" s="31"/>
      <c r="C338" s="9"/>
      <c r="D338" s="9"/>
      <c r="G338" s="23" t="s">
        <v>464</v>
      </c>
      <c r="H338" s="22">
        <v>5</v>
      </c>
      <c r="I338" s="15"/>
      <c r="J338" s="16"/>
      <c r="K338" s="16"/>
    </row>
    <row r="339" spans="2:11" ht="15.75" customHeight="1" x14ac:dyDescent="0.3">
      <c r="B339" s="31"/>
      <c r="C339" s="9"/>
      <c r="D339" s="9"/>
      <c r="G339" s="23" t="s">
        <v>465</v>
      </c>
      <c r="H339" s="22">
        <v>14</v>
      </c>
      <c r="I339" s="15"/>
      <c r="J339" s="16"/>
      <c r="K339" s="16"/>
    </row>
    <row r="340" spans="2:11" ht="15.75" customHeight="1" x14ac:dyDescent="0.3">
      <c r="B340" s="31"/>
      <c r="C340" s="9"/>
      <c r="D340" s="9"/>
      <c r="G340" s="23" t="s">
        <v>466</v>
      </c>
      <c r="H340" s="22">
        <v>9</v>
      </c>
      <c r="I340" s="15"/>
      <c r="J340" s="16"/>
      <c r="K340" s="16"/>
    </row>
    <row r="341" spans="2:11" ht="15.75" customHeight="1" x14ac:dyDescent="0.3">
      <c r="B341" s="31"/>
      <c r="C341" s="9"/>
      <c r="D341" s="9"/>
      <c r="G341" s="23" t="s">
        <v>467</v>
      </c>
      <c r="H341" s="22">
        <v>6</v>
      </c>
      <c r="I341" s="15"/>
      <c r="J341" s="16"/>
      <c r="K341" s="16"/>
    </row>
    <row r="342" spans="2:11" ht="15.75" customHeight="1" x14ac:dyDescent="0.3">
      <c r="B342" s="31"/>
      <c r="C342" s="9"/>
      <c r="D342" s="9"/>
      <c r="G342" s="23" t="s">
        <v>468</v>
      </c>
      <c r="H342" s="22">
        <v>5</v>
      </c>
      <c r="I342" s="15"/>
      <c r="J342" s="16"/>
      <c r="K342" s="16"/>
    </row>
    <row r="343" spans="2:11" ht="15.75" customHeight="1" x14ac:dyDescent="0.3">
      <c r="B343" s="31"/>
      <c r="C343" s="9"/>
      <c r="D343" s="9"/>
      <c r="G343" s="23" t="s">
        <v>469</v>
      </c>
      <c r="H343" s="22">
        <v>4</v>
      </c>
      <c r="I343" s="15"/>
      <c r="J343" s="16"/>
      <c r="K343" s="16"/>
    </row>
    <row r="344" spans="2:11" ht="15.75" customHeight="1" x14ac:dyDescent="0.3">
      <c r="B344" s="31"/>
      <c r="C344" s="9"/>
      <c r="D344" s="9"/>
      <c r="G344" s="23" t="s">
        <v>470</v>
      </c>
      <c r="H344" s="22">
        <v>20</v>
      </c>
      <c r="I344" s="15"/>
      <c r="J344" s="16"/>
      <c r="K344" s="16"/>
    </row>
    <row r="345" spans="2:11" ht="15.75" customHeight="1" x14ac:dyDescent="0.3">
      <c r="B345" s="31"/>
      <c r="C345" s="9"/>
      <c r="D345" s="9"/>
      <c r="G345" s="23" t="s">
        <v>471</v>
      </c>
      <c r="H345" s="22">
        <v>17</v>
      </c>
      <c r="I345" s="15"/>
      <c r="J345" s="16"/>
      <c r="K345" s="16"/>
    </row>
    <row r="346" spans="2:11" ht="15.75" customHeight="1" x14ac:dyDescent="0.3">
      <c r="B346" s="31"/>
      <c r="C346" s="9"/>
      <c r="D346" s="9"/>
      <c r="G346" s="23" t="s">
        <v>472</v>
      </c>
      <c r="H346" s="22">
        <v>18</v>
      </c>
      <c r="I346" s="15"/>
      <c r="J346" s="16"/>
      <c r="K346" s="16"/>
    </row>
    <row r="347" spans="2:11" ht="15.75" customHeight="1" x14ac:dyDescent="0.3">
      <c r="B347" s="31"/>
      <c r="C347" s="9"/>
      <c r="D347" s="9"/>
      <c r="G347" s="23" t="s">
        <v>473</v>
      </c>
      <c r="H347" s="22">
        <v>12</v>
      </c>
      <c r="I347" s="15"/>
      <c r="J347" s="16"/>
      <c r="K347" s="16"/>
    </row>
    <row r="348" spans="2:11" ht="15.75" customHeight="1" x14ac:dyDescent="0.3">
      <c r="B348" s="31"/>
      <c r="C348" s="9"/>
      <c r="D348" s="9"/>
      <c r="G348" s="23" t="s">
        <v>474</v>
      </c>
      <c r="H348" s="22">
        <v>9</v>
      </c>
      <c r="I348" s="15"/>
      <c r="J348" s="16"/>
      <c r="K348" s="16"/>
    </row>
    <row r="349" spans="2:11" ht="15.75" customHeight="1" x14ac:dyDescent="0.3">
      <c r="B349" s="31"/>
      <c r="C349" s="9"/>
      <c r="D349" s="9"/>
      <c r="G349" s="23" t="s">
        <v>475</v>
      </c>
      <c r="H349" s="22">
        <v>9</v>
      </c>
      <c r="I349" s="15"/>
      <c r="J349" s="16"/>
      <c r="K349" s="16"/>
    </row>
    <row r="350" spans="2:11" ht="15.75" customHeight="1" x14ac:dyDescent="0.3">
      <c r="B350" s="31"/>
      <c r="C350" s="9"/>
      <c r="D350" s="9"/>
      <c r="G350" s="23" t="s">
        <v>476</v>
      </c>
      <c r="H350" s="22">
        <v>19</v>
      </c>
      <c r="I350" s="15"/>
      <c r="J350" s="16"/>
      <c r="K350" s="16"/>
    </row>
    <row r="351" spans="2:11" ht="15.75" customHeight="1" x14ac:dyDescent="0.3">
      <c r="B351" s="31"/>
      <c r="C351" s="9"/>
      <c r="D351" s="9"/>
      <c r="G351" s="23" t="s">
        <v>477</v>
      </c>
      <c r="H351" s="22">
        <v>6</v>
      </c>
      <c r="I351" s="15"/>
      <c r="J351" s="16"/>
      <c r="K351" s="16"/>
    </row>
    <row r="352" spans="2:11" ht="15.75" customHeight="1" x14ac:dyDescent="0.3">
      <c r="B352" s="31"/>
      <c r="C352" s="9"/>
      <c r="D352" s="9"/>
      <c r="G352" s="23" t="s">
        <v>478</v>
      </c>
      <c r="H352" s="22">
        <v>18</v>
      </c>
      <c r="I352" s="15"/>
      <c r="J352" s="16"/>
      <c r="K352" s="16"/>
    </row>
    <row r="353" spans="2:11" ht="15.75" customHeight="1" x14ac:dyDescent="0.3">
      <c r="B353" s="31"/>
      <c r="C353" s="9"/>
      <c r="D353" s="9"/>
      <c r="G353" s="23" t="s">
        <v>479</v>
      </c>
      <c r="H353" s="22">
        <v>16</v>
      </c>
      <c r="I353" s="15"/>
      <c r="J353" s="16"/>
      <c r="K353" s="16"/>
    </row>
    <row r="354" spans="2:11" ht="15.75" customHeight="1" x14ac:dyDescent="0.3">
      <c r="B354" s="31"/>
      <c r="C354" s="9"/>
      <c r="D354" s="9"/>
      <c r="G354" s="23" t="s">
        <v>480</v>
      </c>
      <c r="H354" s="22">
        <v>15</v>
      </c>
      <c r="I354" s="15"/>
      <c r="J354" s="16"/>
      <c r="K354" s="16"/>
    </row>
    <row r="355" spans="2:11" ht="15.75" customHeight="1" x14ac:dyDescent="0.3">
      <c r="B355" s="31"/>
      <c r="C355" s="9"/>
      <c r="D355" s="9"/>
      <c r="G355" s="23" t="s">
        <v>481</v>
      </c>
      <c r="H355" s="22">
        <v>11</v>
      </c>
      <c r="I355" s="15"/>
      <c r="J355" s="16"/>
      <c r="K355" s="16"/>
    </row>
    <row r="356" spans="2:11" ht="15.75" customHeight="1" x14ac:dyDescent="0.3">
      <c r="B356" s="31"/>
      <c r="C356" s="9"/>
      <c r="D356" s="9"/>
      <c r="G356" s="23" t="s">
        <v>482</v>
      </c>
      <c r="H356" s="22">
        <v>8</v>
      </c>
      <c r="I356" s="15"/>
      <c r="J356" s="16"/>
      <c r="K356" s="16"/>
    </row>
    <row r="357" spans="2:11" ht="15.75" customHeight="1" x14ac:dyDescent="0.3">
      <c r="B357" s="31"/>
      <c r="C357" s="9"/>
      <c r="D357" s="9"/>
      <c r="G357" s="23" t="s">
        <v>483</v>
      </c>
      <c r="H357" s="22">
        <v>11</v>
      </c>
      <c r="I357" s="15"/>
      <c r="J357" s="16"/>
      <c r="K357" s="16"/>
    </row>
    <row r="358" spans="2:11" ht="15.75" customHeight="1" x14ac:dyDescent="0.3">
      <c r="B358" s="31"/>
      <c r="C358" s="9"/>
      <c r="D358" s="9"/>
      <c r="G358" s="23" t="s">
        <v>484</v>
      </c>
      <c r="H358" s="22">
        <v>16</v>
      </c>
      <c r="I358" s="15"/>
      <c r="J358" s="16"/>
      <c r="K358" s="16"/>
    </row>
    <row r="359" spans="2:11" ht="15.75" customHeight="1" x14ac:dyDescent="0.3">
      <c r="B359" s="31"/>
      <c r="C359" s="9"/>
      <c r="D359" s="9"/>
      <c r="G359" s="23" t="s">
        <v>485</v>
      </c>
      <c r="H359" s="22">
        <v>11</v>
      </c>
      <c r="I359" s="15"/>
      <c r="J359" s="16"/>
      <c r="K359" s="16"/>
    </row>
    <row r="360" spans="2:11" ht="15.75" customHeight="1" x14ac:dyDescent="0.3">
      <c r="B360" s="31"/>
      <c r="C360" s="9"/>
      <c r="D360" s="9"/>
      <c r="G360" s="23" t="s">
        <v>486</v>
      </c>
      <c r="H360" s="22">
        <v>14</v>
      </c>
      <c r="I360" s="15"/>
      <c r="J360" s="16"/>
      <c r="K360" s="16"/>
    </row>
    <row r="361" spans="2:11" ht="15.75" customHeight="1" x14ac:dyDescent="0.3">
      <c r="B361" s="31"/>
      <c r="C361" s="9"/>
      <c r="D361" s="9"/>
      <c r="G361" s="23" t="s">
        <v>487</v>
      </c>
      <c r="H361" s="22">
        <v>12</v>
      </c>
      <c r="I361" s="15"/>
      <c r="J361" s="16"/>
      <c r="K361" s="16"/>
    </row>
    <row r="362" spans="2:11" ht="15.75" customHeight="1" x14ac:dyDescent="0.3">
      <c r="B362" s="31"/>
      <c r="C362" s="9"/>
      <c r="D362" s="9"/>
      <c r="G362" s="23" t="s">
        <v>488</v>
      </c>
      <c r="H362" s="22">
        <v>12</v>
      </c>
      <c r="I362" s="15"/>
      <c r="J362" s="16"/>
      <c r="K362" s="16"/>
    </row>
    <row r="363" spans="2:11" ht="15.75" customHeight="1" x14ac:dyDescent="0.3">
      <c r="B363" s="31"/>
      <c r="C363" s="9"/>
      <c r="D363" s="9"/>
      <c r="G363" s="23" t="s">
        <v>489</v>
      </c>
      <c r="H363" s="22">
        <v>15</v>
      </c>
      <c r="I363" s="15"/>
      <c r="J363" s="16"/>
      <c r="K363" s="16"/>
    </row>
    <row r="364" spans="2:11" ht="15.75" customHeight="1" x14ac:dyDescent="0.3">
      <c r="B364" s="31"/>
      <c r="C364" s="9"/>
      <c r="D364" s="9"/>
      <c r="G364" s="23" t="s">
        <v>490</v>
      </c>
      <c r="H364" s="22">
        <v>9</v>
      </c>
      <c r="I364" s="15"/>
      <c r="J364" s="16"/>
      <c r="K364" s="16"/>
    </row>
    <row r="365" spans="2:11" ht="15.75" customHeight="1" x14ac:dyDescent="0.3">
      <c r="B365" s="31"/>
      <c r="C365" s="9"/>
      <c r="D365" s="9"/>
      <c r="G365" s="23" t="s">
        <v>491</v>
      </c>
      <c r="H365" s="22">
        <v>7</v>
      </c>
      <c r="I365" s="15"/>
      <c r="J365" s="16"/>
      <c r="K365" s="16"/>
    </row>
    <row r="366" spans="2:11" ht="15.75" customHeight="1" x14ac:dyDescent="0.3">
      <c r="B366" s="31"/>
      <c r="C366" s="9"/>
      <c r="D366" s="9"/>
      <c r="G366" s="23" t="s">
        <v>492</v>
      </c>
      <c r="H366" s="22">
        <v>16</v>
      </c>
      <c r="I366" s="15"/>
      <c r="J366" s="16"/>
      <c r="K366" s="16"/>
    </row>
    <row r="367" spans="2:11" ht="15.75" customHeight="1" x14ac:dyDescent="0.3">
      <c r="B367" s="31"/>
      <c r="C367" s="9"/>
      <c r="D367" s="9"/>
      <c r="G367" s="23" t="s">
        <v>493</v>
      </c>
      <c r="H367" s="22">
        <v>17</v>
      </c>
      <c r="I367" s="15"/>
      <c r="J367" s="16"/>
      <c r="K367" s="16"/>
    </row>
    <row r="368" spans="2:11" ht="15.75" customHeight="1" x14ac:dyDescent="0.3">
      <c r="B368" s="31"/>
      <c r="C368" s="9"/>
      <c r="D368" s="9"/>
      <c r="G368" s="23" t="s">
        <v>494</v>
      </c>
      <c r="H368" s="22">
        <v>15</v>
      </c>
      <c r="I368" s="15"/>
      <c r="J368" s="16"/>
      <c r="K368" s="16"/>
    </row>
    <row r="369" spans="2:11" ht="15.75" customHeight="1" x14ac:dyDescent="0.3">
      <c r="B369" s="31"/>
      <c r="C369" s="9"/>
      <c r="D369" s="9"/>
      <c r="G369" s="23" t="s">
        <v>495</v>
      </c>
      <c r="H369" s="22">
        <v>7</v>
      </c>
      <c r="I369" s="15"/>
      <c r="J369" s="16"/>
      <c r="K369" s="16"/>
    </row>
    <row r="370" spans="2:11" ht="15.75" customHeight="1" x14ac:dyDescent="0.3">
      <c r="B370" s="31"/>
      <c r="C370" s="9"/>
      <c r="D370" s="9"/>
      <c r="G370" s="23" t="s">
        <v>496</v>
      </c>
      <c r="H370" s="22">
        <v>14</v>
      </c>
      <c r="I370" s="15"/>
      <c r="J370" s="16"/>
      <c r="K370" s="16"/>
    </row>
    <row r="371" spans="2:11" ht="15.75" customHeight="1" x14ac:dyDescent="0.3">
      <c r="B371" s="31"/>
      <c r="C371" s="9"/>
      <c r="D371" s="9"/>
      <c r="G371" s="23" t="s">
        <v>497</v>
      </c>
      <c r="H371" s="22">
        <v>14</v>
      </c>
      <c r="I371" s="15"/>
      <c r="J371" s="16"/>
      <c r="K371" s="16"/>
    </row>
    <row r="372" spans="2:11" ht="15.75" customHeight="1" x14ac:dyDescent="0.3">
      <c r="B372" s="31"/>
      <c r="C372" s="9"/>
      <c r="D372" s="9"/>
      <c r="G372" s="23" t="s">
        <v>498</v>
      </c>
      <c r="H372" s="22">
        <v>10</v>
      </c>
      <c r="I372" s="15"/>
      <c r="J372" s="16"/>
      <c r="K372" s="16"/>
    </row>
    <row r="373" spans="2:11" ht="15.75" customHeight="1" x14ac:dyDescent="0.3">
      <c r="B373" s="31"/>
      <c r="C373" s="9"/>
      <c r="D373" s="9"/>
      <c r="G373" s="23" t="s">
        <v>499</v>
      </c>
      <c r="H373" s="22">
        <v>10</v>
      </c>
      <c r="I373" s="15"/>
      <c r="J373" s="16"/>
      <c r="K373" s="16"/>
    </row>
    <row r="374" spans="2:11" ht="15.75" customHeight="1" x14ac:dyDescent="0.3">
      <c r="B374" s="31"/>
      <c r="C374" s="9"/>
      <c r="D374" s="9"/>
      <c r="G374" s="23" t="s">
        <v>500</v>
      </c>
      <c r="H374" s="22">
        <v>18</v>
      </c>
      <c r="I374" s="15"/>
      <c r="J374" s="16"/>
      <c r="K374" s="16"/>
    </row>
    <row r="375" spans="2:11" ht="15.75" customHeight="1" x14ac:dyDescent="0.3">
      <c r="B375" s="31"/>
      <c r="C375" s="9"/>
      <c r="D375" s="9"/>
      <c r="G375" s="23" t="s">
        <v>501</v>
      </c>
      <c r="H375" s="22">
        <v>7</v>
      </c>
      <c r="I375" s="15"/>
      <c r="J375" s="16"/>
      <c r="K375" s="16"/>
    </row>
    <row r="376" spans="2:11" ht="15.75" customHeight="1" x14ac:dyDescent="0.3">
      <c r="B376" s="31"/>
      <c r="C376" s="9"/>
      <c r="D376" s="9"/>
      <c r="G376" s="23" t="s">
        <v>502</v>
      </c>
      <c r="H376" s="22">
        <v>4</v>
      </c>
      <c r="I376" s="15"/>
      <c r="J376" s="16"/>
      <c r="K376" s="16"/>
    </row>
    <row r="377" spans="2:11" ht="15.75" customHeight="1" x14ac:dyDescent="0.3">
      <c r="B377" s="31"/>
      <c r="C377" s="9"/>
      <c r="D377" s="9"/>
      <c r="G377" s="23" t="s">
        <v>503</v>
      </c>
      <c r="H377" s="22">
        <v>10</v>
      </c>
      <c r="I377" s="15"/>
      <c r="J377" s="16"/>
      <c r="K377" s="16"/>
    </row>
    <row r="378" spans="2:11" ht="15.75" customHeight="1" x14ac:dyDescent="0.3">
      <c r="B378" s="31"/>
      <c r="C378" s="9"/>
      <c r="D378" s="9"/>
      <c r="G378" s="23" t="s">
        <v>504</v>
      </c>
      <c r="H378" s="22">
        <v>16</v>
      </c>
      <c r="I378" s="15"/>
      <c r="J378" s="16"/>
      <c r="K378" s="16"/>
    </row>
    <row r="379" spans="2:11" ht="15.75" customHeight="1" x14ac:dyDescent="0.3">
      <c r="B379" s="31"/>
      <c r="C379" s="9"/>
      <c r="D379" s="9"/>
      <c r="G379" s="23" t="s">
        <v>505</v>
      </c>
      <c r="H379" s="22">
        <v>14</v>
      </c>
      <c r="I379" s="15"/>
      <c r="J379" s="16"/>
      <c r="K379" s="16"/>
    </row>
    <row r="380" spans="2:11" ht="15.75" customHeight="1" x14ac:dyDescent="0.3">
      <c r="B380" s="31"/>
      <c r="C380" s="9"/>
      <c r="D380" s="9"/>
      <c r="G380" s="23" t="s">
        <v>506</v>
      </c>
      <c r="H380" s="22">
        <v>7</v>
      </c>
      <c r="I380" s="15"/>
      <c r="J380" s="16"/>
      <c r="K380" s="16"/>
    </row>
    <row r="381" spans="2:11" ht="15.75" customHeight="1" x14ac:dyDescent="0.3">
      <c r="B381" s="31"/>
      <c r="C381" s="9"/>
      <c r="D381" s="9"/>
      <c r="G381" s="23" t="s">
        <v>507</v>
      </c>
      <c r="H381" s="22">
        <v>12</v>
      </c>
      <c r="I381" s="15"/>
      <c r="J381" s="16"/>
      <c r="K381" s="16"/>
    </row>
    <row r="382" spans="2:11" ht="15.75" customHeight="1" x14ac:dyDescent="0.3">
      <c r="B382" s="31"/>
      <c r="C382" s="9"/>
      <c r="D382" s="9"/>
      <c r="G382" s="23" t="s">
        <v>508</v>
      </c>
      <c r="H382" s="22">
        <v>14</v>
      </c>
      <c r="I382" s="15"/>
      <c r="J382" s="16"/>
      <c r="K382" s="16"/>
    </row>
    <row r="383" spans="2:11" ht="15.75" customHeight="1" x14ac:dyDescent="0.3">
      <c r="B383" s="31"/>
      <c r="C383" s="9"/>
      <c r="D383" s="9"/>
      <c r="G383" s="23" t="s">
        <v>509</v>
      </c>
      <c r="H383" s="22">
        <v>9</v>
      </c>
      <c r="I383" s="15"/>
      <c r="J383" s="16"/>
      <c r="K383" s="16"/>
    </row>
    <row r="384" spans="2:11" ht="15.75" customHeight="1" x14ac:dyDescent="0.3">
      <c r="B384" s="31"/>
      <c r="C384" s="9"/>
      <c r="D384" s="9"/>
      <c r="G384" s="23" t="s">
        <v>510</v>
      </c>
      <c r="H384" s="22">
        <v>10</v>
      </c>
      <c r="I384" s="15"/>
      <c r="J384" s="16"/>
      <c r="K384" s="16"/>
    </row>
    <row r="385" spans="2:11" ht="15.75" customHeight="1" x14ac:dyDescent="0.3">
      <c r="B385" s="31"/>
      <c r="C385" s="9"/>
      <c r="D385" s="9"/>
      <c r="G385" s="23" t="s">
        <v>511</v>
      </c>
      <c r="H385" s="22">
        <v>17</v>
      </c>
      <c r="I385" s="15"/>
      <c r="J385" s="16"/>
      <c r="K385" s="16"/>
    </row>
    <row r="386" spans="2:11" ht="15.75" customHeight="1" x14ac:dyDescent="0.3">
      <c r="B386" s="31"/>
      <c r="C386" s="9"/>
      <c r="D386" s="9"/>
      <c r="G386" s="23" t="s">
        <v>512</v>
      </c>
      <c r="H386" s="22">
        <v>14</v>
      </c>
      <c r="I386" s="15"/>
      <c r="J386" s="16"/>
      <c r="K386" s="16"/>
    </row>
    <row r="387" spans="2:11" ht="15.75" customHeight="1" x14ac:dyDescent="0.3">
      <c r="B387" s="31"/>
      <c r="C387" s="9"/>
      <c r="D387" s="9"/>
      <c r="G387" s="23" t="s">
        <v>513</v>
      </c>
      <c r="H387" s="22">
        <v>5</v>
      </c>
      <c r="I387" s="15"/>
      <c r="J387" s="16"/>
      <c r="K387" s="16"/>
    </row>
    <row r="388" spans="2:11" ht="15.75" customHeight="1" x14ac:dyDescent="0.3">
      <c r="B388" s="31"/>
      <c r="C388" s="9"/>
      <c r="D388" s="9"/>
      <c r="G388" s="23" t="s">
        <v>514</v>
      </c>
      <c r="H388" s="22">
        <v>9</v>
      </c>
      <c r="I388" s="15"/>
      <c r="J388" s="16"/>
      <c r="K388" s="16"/>
    </row>
    <row r="389" spans="2:11" ht="15.75" customHeight="1" x14ac:dyDescent="0.3">
      <c r="B389" s="31"/>
      <c r="C389" s="9"/>
      <c r="D389" s="9"/>
      <c r="G389" s="23" t="s">
        <v>515</v>
      </c>
      <c r="H389" s="22">
        <v>17</v>
      </c>
      <c r="I389" s="15"/>
      <c r="J389" s="16"/>
      <c r="K389" s="16"/>
    </row>
    <row r="390" spans="2:11" ht="15.75" customHeight="1" x14ac:dyDescent="0.3">
      <c r="B390" s="31"/>
      <c r="C390" s="9"/>
      <c r="D390" s="9"/>
      <c r="G390" s="23" t="s">
        <v>516</v>
      </c>
      <c r="H390" s="22">
        <v>15</v>
      </c>
      <c r="I390" s="15"/>
      <c r="J390" s="16"/>
      <c r="K390" s="16"/>
    </row>
    <row r="391" spans="2:11" ht="15.75" customHeight="1" x14ac:dyDescent="0.3">
      <c r="B391" s="31"/>
      <c r="C391" s="9"/>
      <c r="D391" s="9"/>
      <c r="G391" s="23" t="s">
        <v>517</v>
      </c>
      <c r="H391" s="22">
        <v>13</v>
      </c>
      <c r="I391" s="15"/>
      <c r="J391" s="16"/>
      <c r="K391" s="16"/>
    </row>
    <row r="392" spans="2:11" ht="15.75" customHeight="1" x14ac:dyDescent="0.3">
      <c r="B392" s="31"/>
      <c r="C392" s="9"/>
      <c r="D392" s="9"/>
      <c r="G392" s="23" t="s">
        <v>518</v>
      </c>
      <c r="H392" s="22">
        <v>8</v>
      </c>
      <c r="I392" s="15"/>
      <c r="J392" s="16"/>
      <c r="K392" s="16"/>
    </row>
    <row r="393" spans="2:11" ht="15.75" customHeight="1" x14ac:dyDescent="0.3">
      <c r="B393" s="31"/>
      <c r="C393" s="9"/>
      <c r="D393" s="9"/>
      <c r="G393" s="23" t="s">
        <v>519</v>
      </c>
      <c r="H393" s="22">
        <v>13</v>
      </c>
      <c r="I393" s="15"/>
      <c r="J393" s="16"/>
      <c r="K393" s="16"/>
    </row>
    <row r="394" spans="2:11" ht="15.75" customHeight="1" x14ac:dyDescent="0.3">
      <c r="B394" s="31"/>
      <c r="C394" s="9"/>
      <c r="D394" s="9"/>
      <c r="G394" s="23" t="s">
        <v>520</v>
      </c>
      <c r="H394" s="22">
        <v>13</v>
      </c>
      <c r="I394" s="15"/>
      <c r="J394" s="16"/>
      <c r="K394" s="16"/>
    </row>
    <row r="395" spans="2:11" ht="15.75" customHeight="1" x14ac:dyDescent="0.3">
      <c r="B395" s="31"/>
      <c r="C395" s="9"/>
      <c r="D395" s="9"/>
      <c r="G395" s="23" t="s">
        <v>521</v>
      </c>
      <c r="H395" s="22">
        <v>9</v>
      </c>
      <c r="I395" s="15"/>
      <c r="J395" s="16"/>
      <c r="K395" s="16"/>
    </row>
    <row r="396" spans="2:11" ht="15.75" customHeight="1" x14ac:dyDescent="0.3">
      <c r="B396" s="31"/>
      <c r="C396" s="9"/>
      <c r="D396" s="9"/>
      <c r="G396" s="23" t="s">
        <v>522</v>
      </c>
      <c r="H396" s="22">
        <v>13</v>
      </c>
      <c r="I396" s="15"/>
      <c r="J396" s="16"/>
      <c r="K396" s="16"/>
    </row>
    <row r="397" spans="2:11" ht="15.75" customHeight="1" x14ac:dyDescent="0.3">
      <c r="B397" s="31"/>
      <c r="C397" s="9"/>
      <c r="D397" s="9"/>
      <c r="G397" s="23" t="s">
        <v>523</v>
      </c>
      <c r="H397" s="22">
        <v>8</v>
      </c>
      <c r="I397" s="15"/>
      <c r="J397" s="16"/>
      <c r="K397" s="16"/>
    </row>
    <row r="398" spans="2:11" ht="15.75" customHeight="1" x14ac:dyDescent="0.3">
      <c r="B398" s="31"/>
      <c r="C398" s="9"/>
      <c r="D398" s="9"/>
      <c r="G398" s="23" t="s">
        <v>524</v>
      </c>
      <c r="H398" s="22">
        <v>8</v>
      </c>
      <c r="I398" s="15"/>
      <c r="J398" s="16"/>
      <c r="K398" s="16"/>
    </row>
    <row r="399" spans="2:11" ht="15.75" customHeight="1" x14ac:dyDescent="0.3">
      <c r="B399" s="31"/>
      <c r="C399" s="9"/>
      <c r="D399" s="9"/>
      <c r="G399" s="23" t="s">
        <v>525</v>
      </c>
      <c r="H399" s="22">
        <v>18</v>
      </c>
      <c r="I399" s="15"/>
      <c r="J399" s="16"/>
      <c r="K399" s="16"/>
    </row>
    <row r="400" spans="2:11" ht="15.75" customHeight="1" x14ac:dyDescent="0.3">
      <c r="B400" s="31"/>
      <c r="C400" s="9"/>
      <c r="D400" s="9"/>
      <c r="G400" s="23" t="s">
        <v>526</v>
      </c>
      <c r="H400" s="22">
        <v>5</v>
      </c>
      <c r="I400" s="15"/>
      <c r="J400" s="16"/>
      <c r="K400" s="16"/>
    </row>
    <row r="401" spans="2:11" ht="15.75" customHeight="1" x14ac:dyDescent="0.3">
      <c r="B401" s="31"/>
      <c r="C401" s="9"/>
      <c r="D401" s="9"/>
      <c r="G401" s="23" t="s">
        <v>527</v>
      </c>
      <c r="H401" s="22">
        <v>9</v>
      </c>
      <c r="I401" s="15"/>
      <c r="J401" s="16"/>
      <c r="K401" s="16"/>
    </row>
    <row r="402" spans="2:11" ht="15.75" customHeight="1" x14ac:dyDescent="0.3">
      <c r="B402" s="31"/>
      <c r="C402" s="9"/>
      <c r="D402" s="9"/>
      <c r="G402" s="23" t="s">
        <v>528</v>
      </c>
      <c r="H402" s="22">
        <v>11</v>
      </c>
      <c r="I402" s="15"/>
      <c r="J402" s="16"/>
      <c r="K402" s="16"/>
    </row>
    <row r="403" spans="2:11" ht="15.75" customHeight="1" x14ac:dyDescent="0.3">
      <c r="B403" s="31"/>
      <c r="C403" s="9"/>
      <c r="D403" s="9"/>
      <c r="G403" s="23" t="s">
        <v>529</v>
      </c>
      <c r="H403" s="22">
        <v>10</v>
      </c>
      <c r="I403" s="15"/>
      <c r="J403" s="16"/>
      <c r="K403" s="16"/>
    </row>
    <row r="404" spans="2:11" ht="15.75" customHeight="1" x14ac:dyDescent="0.3">
      <c r="B404" s="31"/>
      <c r="C404" s="9"/>
      <c r="D404" s="9"/>
      <c r="G404" s="23" t="s">
        <v>530</v>
      </c>
      <c r="H404" s="22">
        <v>16</v>
      </c>
      <c r="I404" s="15"/>
      <c r="J404" s="16"/>
      <c r="K404" s="16"/>
    </row>
    <row r="405" spans="2:11" ht="15.75" customHeight="1" x14ac:dyDescent="0.3">
      <c r="B405" s="31"/>
      <c r="C405" s="9"/>
      <c r="D405" s="9"/>
      <c r="G405" s="23" t="s">
        <v>531</v>
      </c>
      <c r="H405" s="22">
        <v>9</v>
      </c>
      <c r="I405" s="15"/>
      <c r="J405" s="16"/>
      <c r="K405" s="16"/>
    </row>
    <row r="406" spans="2:11" ht="15.75" customHeight="1" x14ac:dyDescent="0.3">
      <c r="B406" s="31"/>
      <c r="C406" s="9"/>
      <c r="D406" s="9"/>
      <c r="G406" s="23" t="s">
        <v>532</v>
      </c>
      <c r="H406" s="22">
        <v>18</v>
      </c>
      <c r="I406" s="15"/>
      <c r="J406" s="16"/>
      <c r="K406" s="16"/>
    </row>
    <row r="407" spans="2:11" ht="15.75" customHeight="1" x14ac:dyDescent="0.3">
      <c r="B407" s="31"/>
      <c r="C407" s="9"/>
      <c r="D407" s="9"/>
      <c r="G407" s="23" t="s">
        <v>533</v>
      </c>
      <c r="H407" s="22">
        <v>13</v>
      </c>
      <c r="I407" s="15"/>
      <c r="J407" s="16"/>
      <c r="K407" s="16"/>
    </row>
    <row r="408" spans="2:11" ht="15.75" customHeight="1" x14ac:dyDescent="0.3">
      <c r="B408" s="31"/>
      <c r="C408" s="9"/>
      <c r="D408" s="9"/>
      <c r="G408" s="23" t="s">
        <v>534</v>
      </c>
      <c r="H408" s="22">
        <v>7</v>
      </c>
      <c r="I408" s="15"/>
      <c r="J408" s="16"/>
      <c r="K408" s="16"/>
    </row>
    <row r="409" spans="2:11" ht="15.75" customHeight="1" x14ac:dyDescent="0.3">
      <c r="B409" s="31"/>
      <c r="C409" s="9"/>
      <c r="D409" s="9"/>
      <c r="G409" s="23" t="s">
        <v>535</v>
      </c>
      <c r="H409" s="22">
        <v>11</v>
      </c>
      <c r="I409" s="15"/>
      <c r="J409" s="16"/>
      <c r="K409" s="16"/>
    </row>
    <row r="410" spans="2:11" ht="15.75" customHeight="1" x14ac:dyDescent="0.3">
      <c r="B410" s="31"/>
      <c r="C410" s="9"/>
      <c r="D410" s="9"/>
      <c r="G410" s="23" t="s">
        <v>536</v>
      </c>
      <c r="H410" s="22">
        <v>19</v>
      </c>
      <c r="I410" s="15"/>
      <c r="J410" s="16"/>
      <c r="K410" s="16"/>
    </row>
    <row r="411" spans="2:11" ht="15.75" customHeight="1" x14ac:dyDescent="0.3">
      <c r="B411" s="31"/>
      <c r="C411" s="9"/>
      <c r="D411" s="9"/>
      <c r="G411" s="23" t="s">
        <v>537</v>
      </c>
      <c r="H411" s="22">
        <v>14</v>
      </c>
      <c r="I411" s="15"/>
      <c r="J411" s="16"/>
      <c r="K411" s="16"/>
    </row>
    <row r="412" spans="2:11" ht="15.75" customHeight="1" x14ac:dyDescent="0.3">
      <c r="B412" s="31"/>
      <c r="C412" s="9"/>
      <c r="D412" s="9"/>
      <c r="G412" s="23" t="s">
        <v>538</v>
      </c>
      <c r="H412" s="22">
        <v>6</v>
      </c>
      <c r="I412" s="15"/>
      <c r="J412" s="16"/>
      <c r="K412" s="16"/>
    </row>
    <row r="413" spans="2:11" ht="15.75" customHeight="1" x14ac:dyDescent="0.3">
      <c r="B413" s="31"/>
      <c r="C413" s="9"/>
      <c r="D413" s="9"/>
      <c r="G413" s="23" t="s">
        <v>539</v>
      </c>
      <c r="H413" s="22">
        <v>11</v>
      </c>
      <c r="I413" s="15"/>
      <c r="J413" s="16"/>
      <c r="K413" s="16"/>
    </row>
    <row r="414" spans="2:11" ht="15.75" customHeight="1" x14ac:dyDescent="0.3">
      <c r="B414" s="31"/>
      <c r="C414" s="9"/>
      <c r="D414" s="9"/>
      <c r="G414" s="23" t="s">
        <v>540</v>
      </c>
      <c r="H414" s="22">
        <v>4</v>
      </c>
      <c r="I414" s="15"/>
      <c r="J414" s="16"/>
      <c r="K414" s="16"/>
    </row>
    <row r="415" spans="2:11" ht="15.75" customHeight="1" x14ac:dyDescent="0.3">
      <c r="B415" s="31"/>
      <c r="C415" s="9"/>
      <c r="D415" s="9"/>
      <c r="G415" s="23" t="s">
        <v>541</v>
      </c>
      <c r="H415" s="22">
        <v>9</v>
      </c>
      <c r="I415" s="15"/>
      <c r="J415" s="16"/>
      <c r="K415" s="16"/>
    </row>
    <row r="416" spans="2:11" ht="15.75" customHeight="1" x14ac:dyDescent="0.3">
      <c r="B416" s="31"/>
      <c r="C416" s="9"/>
      <c r="D416" s="9"/>
      <c r="G416" s="23" t="s">
        <v>542</v>
      </c>
      <c r="H416" s="22">
        <v>6</v>
      </c>
      <c r="I416" s="15"/>
      <c r="J416" s="16"/>
      <c r="K416" s="16"/>
    </row>
    <row r="417" spans="2:11" ht="15.75" customHeight="1" x14ac:dyDescent="0.3">
      <c r="B417" s="31"/>
      <c r="C417" s="9"/>
      <c r="D417" s="9"/>
      <c r="G417" s="23" t="s">
        <v>543</v>
      </c>
      <c r="H417" s="22">
        <v>20</v>
      </c>
      <c r="I417" s="15"/>
      <c r="J417" s="16"/>
      <c r="K417" s="16"/>
    </row>
    <row r="418" spans="2:11" ht="15.75" customHeight="1" x14ac:dyDescent="0.3">
      <c r="B418" s="31"/>
      <c r="C418" s="9"/>
      <c r="D418" s="9"/>
      <c r="G418" s="23" t="s">
        <v>544</v>
      </c>
      <c r="H418" s="22">
        <v>11</v>
      </c>
      <c r="I418" s="15"/>
      <c r="J418" s="16"/>
      <c r="K418" s="16"/>
    </row>
    <row r="419" spans="2:11" ht="15.75" customHeight="1" x14ac:dyDescent="0.3">
      <c r="B419" s="31"/>
      <c r="C419" s="9"/>
      <c r="D419" s="9"/>
      <c r="G419" s="23" t="s">
        <v>545</v>
      </c>
      <c r="H419" s="22">
        <v>6</v>
      </c>
      <c r="I419" s="15"/>
      <c r="J419" s="16"/>
      <c r="K419" s="16"/>
    </row>
    <row r="420" spans="2:11" ht="15.75" customHeight="1" x14ac:dyDescent="0.3">
      <c r="B420" s="31"/>
      <c r="C420" s="9"/>
      <c r="D420" s="9"/>
      <c r="G420" s="23" t="s">
        <v>546</v>
      </c>
      <c r="H420" s="22">
        <v>14</v>
      </c>
      <c r="I420" s="15"/>
      <c r="J420" s="16"/>
      <c r="K420" s="16"/>
    </row>
    <row r="421" spans="2:11" ht="15.75" customHeight="1" x14ac:dyDescent="0.3">
      <c r="B421" s="31"/>
      <c r="C421" s="9"/>
      <c r="D421" s="9"/>
      <c r="G421" s="23" t="s">
        <v>547</v>
      </c>
      <c r="H421" s="22">
        <v>6</v>
      </c>
      <c r="I421" s="15"/>
      <c r="J421" s="16"/>
      <c r="K421" s="16"/>
    </row>
    <row r="422" spans="2:11" ht="15.75" customHeight="1" x14ac:dyDescent="0.3">
      <c r="B422" s="31"/>
      <c r="C422" s="9"/>
      <c r="D422" s="9"/>
      <c r="G422" s="23" t="s">
        <v>548</v>
      </c>
      <c r="H422" s="22">
        <v>6</v>
      </c>
      <c r="I422" s="15"/>
      <c r="J422" s="16"/>
      <c r="K422" s="16"/>
    </row>
    <row r="423" spans="2:11" ht="15.75" customHeight="1" x14ac:dyDescent="0.3">
      <c r="B423" s="31"/>
      <c r="C423" s="9"/>
      <c r="D423" s="9"/>
      <c r="G423" s="23" t="s">
        <v>549</v>
      </c>
      <c r="H423" s="22">
        <v>10</v>
      </c>
      <c r="I423" s="15"/>
      <c r="J423" s="16"/>
      <c r="K423" s="16"/>
    </row>
    <row r="424" spans="2:11" ht="15.75" customHeight="1" x14ac:dyDescent="0.3">
      <c r="B424" s="31"/>
      <c r="C424" s="9"/>
      <c r="D424" s="9"/>
      <c r="G424" s="23" t="s">
        <v>550</v>
      </c>
      <c r="H424" s="22">
        <v>14</v>
      </c>
      <c r="I424" s="15"/>
      <c r="J424" s="16"/>
      <c r="K424" s="16"/>
    </row>
    <row r="425" spans="2:11" ht="15.75" customHeight="1" x14ac:dyDescent="0.3">
      <c r="B425" s="31"/>
      <c r="C425" s="9"/>
      <c r="D425" s="9"/>
      <c r="G425" s="23" t="s">
        <v>551</v>
      </c>
      <c r="H425" s="22">
        <v>10</v>
      </c>
      <c r="I425" s="15"/>
      <c r="J425" s="16"/>
      <c r="K425" s="16"/>
    </row>
    <row r="426" spans="2:11" ht="15.75" customHeight="1" x14ac:dyDescent="0.3">
      <c r="B426" s="31"/>
      <c r="C426" s="9"/>
      <c r="D426" s="9"/>
      <c r="G426" s="23" t="s">
        <v>552</v>
      </c>
      <c r="H426" s="22">
        <v>8</v>
      </c>
      <c r="I426" s="15"/>
      <c r="J426" s="16"/>
      <c r="K426" s="16"/>
    </row>
    <row r="427" spans="2:11" ht="15.75" customHeight="1" x14ac:dyDescent="0.3">
      <c r="B427" s="31"/>
      <c r="C427" s="9"/>
      <c r="D427" s="9"/>
      <c r="G427" s="23" t="s">
        <v>553</v>
      </c>
      <c r="H427" s="22">
        <v>5</v>
      </c>
      <c r="I427" s="15"/>
      <c r="J427" s="16"/>
      <c r="K427" s="16"/>
    </row>
    <row r="428" spans="2:11" ht="15.75" customHeight="1" x14ac:dyDescent="0.3">
      <c r="B428" s="31"/>
      <c r="C428" s="9"/>
      <c r="D428" s="9"/>
      <c r="G428" s="23" t="s">
        <v>554</v>
      </c>
      <c r="H428" s="22">
        <v>10</v>
      </c>
      <c r="I428" s="15"/>
      <c r="J428" s="16"/>
      <c r="K428" s="16"/>
    </row>
    <row r="429" spans="2:11" ht="15.75" customHeight="1" x14ac:dyDescent="0.3">
      <c r="B429" s="31"/>
      <c r="C429" s="9"/>
      <c r="D429" s="9"/>
      <c r="G429" s="23" t="s">
        <v>555</v>
      </c>
      <c r="H429" s="22">
        <v>15</v>
      </c>
      <c r="I429" s="15"/>
      <c r="J429" s="16"/>
      <c r="K429" s="16"/>
    </row>
    <row r="430" spans="2:11" ht="15.75" customHeight="1" x14ac:dyDescent="0.3">
      <c r="B430" s="31"/>
      <c r="C430" s="9"/>
      <c r="D430" s="9"/>
      <c r="G430" s="23" t="s">
        <v>556</v>
      </c>
      <c r="H430" s="22">
        <v>12</v>
      </c>
      <c r="I430" s="15"/>
      <c r="J430" s="16"/>
      <c r="K430" s="16"/>
    </row>
    <row r="431" spans="2:11" ht="15.75" customHeight="1" x14ac:dyDescent="0.3">
      <c r="B431" s="31"/>
      <c r="C431" s="9"/>
      <c r="D431" s="9"/>
      <c r="G431" s="23" t="s">
        <v>557</v>
      </c>
      <c r="H431" s="22">
        <v>20</v>
      </c>
      <c r="I431" s="15"/>
      <c r="J431" s="16"/>
      <c r="K431" s="16"/>
    </row>
    <row r="432" spans="2:11" ht="15.75" customHeight="1" x14ac:dyDescent="0.3">
      <c r="B432" s="31"/>
      <c r="C432" s="9"/>
      <c r="D432" s="9"/>
      <c r="G432" s="23" t="s">
        <v>558</v>
      </c>
      <c r="H432" s="22">
        <v>17</v>
      </c>
      <c r="I432" s="15"/>
      <c r="J432" s="16"/>
      <c r="K432" s="16"/>
    </row>
    <row r="433" spans="2:11" ht="15.75" customHeight="1" x14ac:dyDescent="0.3">
      <c r="B433" s="31"/>
      <c r="C433" s="9"/>
      <c r="D433" s="9"/>
      <c r="G433" s="23" t="s">
        <v>559</v>
      </c>
      <c r="H433" s="22">
        <v>4</v>
      </c>
      <c r="I433" s="15"/>
      <c r="J433" s="16"/>
      <c r="K433" s="16"/>
    </row>
    <row r="434" spans="2:11" ht="15.75" customHeight="1" x14ac:dyDescent="0.3">
      <c r="B434" s="31"/>
      <c r="C434" s="9"/>
      <c r="D434" s="9"/>
      <c r="G434" s="23" t="s">
        <v>560</v>
      </c>
      <c r="H434" s="22">
        <v>9</v>
      </c>
      <c r="I434" s="15"/>
      <c r="J434" s="16"/>
      <c r="K434" s="16"/>
    </row>
    <row r="435" spans="2:11" ht="15.75" customHeight="1" x14ac:dyDescent="0.3">
      <c r="B435" s="31"/>
      <c r="C435" s="9"/>
      <c r="D435" s="9"/>
      <c r="G435" s="23" t="s">
        <v>561</v>
      </c>
      <c r="H435" s="22">
        <v>4</v>
      </c>
      <c r="I435" s="15"/>
      <c r="J435" s="16"/>
      <c r="K435" s="16"/>
    </row>
    <row r="436" spans="2:11" ht="15.75" customHeight="1" x14ac:dyDescent="0.3">
      <c r="B436" s="31"/>
      <c r="C436" s="9"/>
      <c r="D436" s="9"/>
      <c r="G436" s="23" t="s">
        <v>562</v>
      </c>
      <c r="H436" s="22">
        <v>4</v>
      </c>
      <c r="I436" s="15"/>
      <c r="J436" s="16"/>
      <c r="K436" s="16"/>
    </row>
    <row r="437" spans="2:11" ht="15.75" customHeight="1" x14ac:dyDescent="0.3">
      <c r="B437" s="31"/>
      <c r="C437" s="9"/>
      <c r="D437" s="9"/>
      <c r="G437" s="23" t="s">
        <v>563</v>
      </c>
      <c r="H437" s="22">
        <v>20</v>
      </c>
      <c r="I437" s="15"/>
      <c r="J437" s="16"/>
      <c r="K437" s="16"/>
    </row>
    <row r="438" spans="2:11" ht="15.75" customHeight="1" x14ac:dyDescent="0.3">
      <c r="B438" s="31"/>
      <c r="C438" s="9"/>
      <c r="D438" s="9"/>
      <c r="G438" s="23" t="s">
        <v>564</v>
      </c>
      <c r="H438" s="22">
        <v>7</v>
      </c>
      <c r="I438" s="15"/>
      <c r="J438" s="16"/>
      <c r="K438" s="16"/>
    </row>
    <row r="439" spans="2:11" ht="15.75" customHeight="1" x14ac:dyDescent="0.3">
      <c r="B439" s="31"/>
      <c r="C439" s="9"/>
      <c r="D439" s="9"/>
      <c r="G439" s="23" t="s">
        <v>565</v>
      </c>
      <c r="H439" s="22">
        <v>11</v>
      </c>
      <c r="I439" s="15"/>
      <c r="J439" s="16"/>
      <c r="K439" s="16"/>
    </row>
    <row r="440" spans="2:11" ht="15.75" customHeight="1" x14ac:dyDescent="0.3">
      <c r="B440" s="31"/>
      <c r="C440" s="9"/>
      <c r="D440" s="9"/>
      <c r="G440" s="23" t="s">
        <v>566</v>
      </c>
      <c r="H440" s="22">
        <v>11</v>
      </c>
      <c r="I440" s="15"/>
      <c r="J440" s="16"/>
      <c r="K440" s="16"/>
    </row>
    <row r="441" spans="2:11" ht="15.75" customHeight="1" x14ac:dyDescent="0.3">
      <c r="B441" s="31"/>
      <c r="C441" s="9"/>
      <c r="D441" s="9"/>
      <c r="G441" s="23" t="s">
        <v>567</v>
      </c>
      <c r="H441" s="22">
        <v>8</v>
      </c>
      <c r="I441" s="15"/>
      <c r="J441" s="16"/>
      <c r="K441" s="16"/>
    </row>
    <row r="442" spans="2:11" ht="15.75" customHeight="1" x14ac:dyDescent="0.3">
      <c r="B442" s="31"/>
      <c r="C442" s="9"/>
      <c r="D442" s="9"/>
      <c r="G442" s="23" t="s">
        <v>568</v>
      </c>
      <c r="H442" s="22">
        <v>4</v>
      </c>
      <c r="I442" s="15"/>
      <c r="J442" s="16"/>
      <c r="K442" s="16"/>
    </row>
    <row r="443" spans="2:11" ht="15.75" customHeight="1" x14ac:dyDescent="0.3">
      <c r="B443" s="31"/>
      <c r="C443" s="9"/>
      <c r="D443" s="9"/>
      <c r="G443" s="23" t="s">
        <v>569</v>
      </c>
      <c r="H443" s="22">
        <v>15</v>
      </c>
      <c r="I443" s="15"/>
      <c r="J443" s="16"/>
      <c r="K443" s="16"/>
    </row>
    <row r="444" spans="2:11" ht="15.75" customHeight="1" x14ac:dyDescent="0.3">
      <c r="B444" s="31"/>
      <c r="C444" s="9"/>
      <c r="D444" s="9"/>
      <c r="G444" s="23" t="s">
        <v>570</v>
      </c>
      <c r="H444" s="22">
        <v>8</v>
      </c>
      <c r="I444" s="15"/>
      <c r="J444" s="16"/>
      <c r="K444" s="16"/>
    </row>
    <row r="445" spans="2:11" ht="15.75" customHeight="1" x14ac:dyDescent="0.3">
      <c r="B445" s="31"/>
      <c r="C445" s="9"/>
      <c r="D445" s="9"/>
      <c r="G445" s="23" t="s">
        <v>571</v>
      </c>
      <c r="H445" s="22">
        <v>4</v>
      </c>
      <c r="I445" s="15"/>
      <c r="J445" s="16"/>
      <c r="K445" s="16"/>
    </row>
    <row r="446" spans="2:11" ht="15.75" customHeight="1" x14ac:dyDescent="0.3">
      <c r="B446" s="31"/>
      <c r="C446" s="9"/>
      <c r="D446" s="9"/>
      <c r="G446" s="23" t="s">
        <v>572</v>
      </c>
      <c r="H446" s="22">
        <v>5</v>
      </c>
      <c r="I446" s="15"/>
      <c r="J446" s="16"/>
      <c r="K446" s="16"/>
    </row>
    <row r="447" spans="2:11" ht="15.75" customHeight="1" x14ac:dyDescent="0.3">
      <c r="B447" s="31"/>
      <c r="C447" s="9"/>
      <c r="D447" s="9"/>
      <c r="G447" s="23" t="s">
        <v>573</v>
      </c>
      <c r="H447" s="22">
        <v>5</v>
      </c>
      <c r="I447" s="15"/>
      <c r="J447" s="16"/>
      <c r="K447" s="16"/>
    </row>
    <row r="448" spans="2:11" ht="15.75" customHeight="1" x14ac:dyDescent="0.3">
      <c r="B448" s="31"/>
      <c r="C448" s="9"/>
      <c r="D448" s="9"/>
      <c r="G448" s="23" t="s">
        <v>574</v>
      </c>
      <c r="H448" s="22">
        <v>10</v>
      </c>
      <c r="I448" s="15"/>
      <c r="J448" s="16"/>
      <c r="K448" s="16"/>
    </row>
    <row r="449" spans="2:11" ht="15.75" customHeight="1" x14ac:dyDescent="0.3">
      <c r="B449" s="31"/>
      <c r="C449" s="9"/>
      <c r="D449" s="9"/>
      <c r="G449" s="23" t="s">
        <v>575</v>
      </c>
      <c r="H449" s="22">
        <v>8</v>
      </c>
      <c r="I449" s="15"/>
      <c r="J449" s="16"/>
      <c r="K449" s="16"/>
    </row>
    <row r="450" spans="2:11" ht="15.75" customHeight="1" x14ac:dyDescent="0.3">
      <c r="B450" s="31"/>
      <c r="C450" s="9"/>
      <c r="D450" s="9"/>
      <c r="G450" s="23" t="s">
        <v>576</v>
      </c>
      <c r="H450" s="22">
        <v>7</v>
      </c>
      <c r="I450" s="15"/>
      <c r="J450" s="16"/>
      <c r="K450" s="16"/>
    </row>
    <row r="451" spans="2:11" ht="15.75" customHeight="1" x14ac:dyDescent="0.3">
      <c r="B451" s="31"/>
      <c r="C451" s="9"/>
      <c r="D451" s="9"/>
      <c r="G451" s="23" t="s">
        <v>577</v>
      </c>
      <c r="H451" s="22">
        <v>7</v>
      </c>
      <c r="I451" s="15"/>
      <c r="J451" s="16"/>
      <c r="K451" s="16"/>
    </row>
    <row r="452" spans="2:11" ht="15.75" customHeight="1" x14ac:dyDescent="0.3">
      <c r="B452" s="31"/>
      <c r="C452" s="9"/>
      <c r="D452" s="9"/>
      <c r="G452" s="23" t="s">
        <v>578</v>
      </c>
      <c r="H452" s="22">
        <v>13</v>
      </c>
      <c r="I452" s="15"/>
      <c r="J452" s="16"/>
      <c r="K452" s="16"/>
    </row>
    <row r="453" spans="2:11" ht="15.75" customHeight="1" x14ac:dyDescent="0.3">
      <c r="B453" s="31"/>
      <c r="C453" s="9"/>
      <c r="D453" s="9"/>
      <c r="G453" s="23" t="s">
        <v>579</v>
      </c>
      <c r="H453" s="22">
        <v>18</v>
      </c>
      <c r="I453" s="15"/>
      <c r="J453" s="16"/>
      <c r="K453" s="16"/>
    </row>
    <row r="454" spans="2:11" ht="15.75" customHeight="1" x14ac:dyDescent="0.3">
      <c r="B454" s="31"/>
      <c r="C454" s="9"/>
      <c r="D454" s="9"/>
      <c r="G454" s="23" t="s">
        <v>580</v>
      </c>
      <c r="H454" s="22">
        <v>12</v>
      </c>
      <c r="I454" s="15"/>
      <c r="J454" s="16"/>
      <c r="K454" s="16"/>
    </row>
    <row r="455" spans="2:11" ht="15.75" customHeight="1" x14ac:dyDescent="0.3">
      <c r="B455" s="31"/>
      <c r="C455" s="9"/>
      <c r="D455" s="9"/>
      <c r="G455" s="23" t="s">
        <v>581</v>
      </c>
      <c r="H455" s="22">
        <v>14</v>
      </c>
      <c r="I455" s="15"/>
      <c r="J455" s="16"/>
      <c r="K455" s="16"/>
    </row>
    <row r="456" spans="2:11" ht="15.75" customHeight="1" x14ac:dyDescent="0.3">
      <c r="B456" s="31"/>
      <c r="C456" s="9"/>
      <c r="D456" s="9"/>
      <c r="G456" s="23" t="s">
        <v>582</v>
      </c>
      <c r="H456" s="22">
        <v>8</v>
      </c>
      <c r="I456" s="15"/>
      <c r="J456" s="16"/>
      <c r="K456" s="16"/>
    </row>
    <row r="457" spans="2:11" ht="15.75" customHeight="1" x14ac:dyDescent="0.3">
      <c r="B457" s="31"/>
      <c r="C457" s="9"/>
      <c r="D457" s="9"/>
      <c r="G457" s="23" t="s">
        <v>583</v>
      </c>
      <c r="H457" s="22">
        <v>19</v>
      </c>
      <c r="I457" s="15"/>
      <c r="J457" s="16"/>
      <c r="K457" s="16"/>
    </row>
    <row r="458" spans="2:11" ht="15.75" customHeight="1" x14ac:dyDescent="0.3">
      <c r="B458" s="31"/>
      <c r="C458" s="9"/>
      <c r="D458" s="9"/>
      <c r="G458" s="23" t="s">
        <v>584</v>
      </c>
      <c r="H458" s="22">
        <v>6</v>
      </c>
      <c r="I458" s="15"/>
      <c r="J458" s="16"/>
      <c r="K458" s="16"/>
    </row>
    <row r="459" spans="2:11" ht="15.75" customHeight="1" x14ac:dyDescent="0.3">
      <c r="B459" s="31"/>
      <c r="C459" s="9"/>
      <c r="D459" s="9"/>
      <c r="G459" s="23" t="s">
        <v>585</v>
      </c>
      <c r="H459" s="22">
        <v>9</v>
      </c>
      <c r="I459" s="15"/>
      <c r="J459" s="16"/>
      <c r="K459" s="16"/>
    </row>
    <row r="460" spans="2:11" ht="15.75" customHeight="1" x14ac:dyDescent="0.3">
      <c r="B460" s="31"/>
      <c r="C460" s="9"/>
      <c r="D460" s="9"/>
      <c r="G460" s="23" t="s">
        <v>586</v>
      </c>
      <c r="H460" s="22">
        <v>7</v>
      </c>
      <c r="I460" s="15"/>
      <c r="J460" s="16"/>
      <c r="K460" s="16"/>
    </row>
    <row r="461" spans="2:11" ht="15.75" customHeight="1" x14ac:dyDescent="0.3">
      <c r="G461" s="23" t="s">
        <v>587</v>
      </c>
      <c r="H461" s="22">
        <v>20</v>
      </c>
    </row>
    <row r="462" spans="2:11" ht="15.75" customHeight="1" x14ac:dyDescent="0.3">
      <c r="G462" s="23" t="s">
        <v>588</v>
      </c>
      <c r="H462" s="22">
        <v>20</v>
      </c>
    </row>
    <row r="463" spans="2:11" ht="15.75" customHeight="1" x14ac:dyDescent="0.3">
      <c r="G463" s="23" t="s">
        <v>589</v>
      </c>
      <c r="H463" s="22">
        <v>20</v>
      </c>
    </row>
    <row r="464" spans="2:11" ht="15.75" customHeight="1" x14ac:dyDescent="0.3">
      <c r="G464" s="23" t="s">
        <v>590</v>
      </c>
      <c r="H464" s="22">
        <v>4</v>
      </c>
    </row>
    <row r="465" spans="7:8" ht="15.75" customHeight="1" x14ac:dyDescent="0.3">
      <c r="G465" s="23" t="s">
        <v>591</v>
      </c>
      <c r="H465" s="22">
        <v>4</v>
      </c>
    </row>
    <row r="466" spans="7:8" ht="15.75" customHeight="1" x14ac:dyDescent="0.3">
      <c r="G466" s="23" t="s">
        <v>592</v>
      </c>
      <c r="H466" s="22">
        <v>19</v>
      </c>
    </row>
    <row r="467" spans="7:8" ht="15.75" customHeight="1" x14ac:dyDescent="0.3">
      <c r="G467" s="23" t="s">
        <v>593</v>
      </c>
      <c r="H467" s="22">
        <v>15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3"/>
  <sheetViews>
    <sheetView showGridLines="0" workbookViewId="0"/>
  </sheetViews>
  <sheetFormatPr defaultColWidth="12.6640625" defaultRowHeight="15.75" customHeight="1" x14ac:dyDescent="0.25"/>
  <cols>
    <col min="1" max="1" width="14.109375" customWidth="1"/>
    <col min="2" max="2" width="20.77734375" customWidth="1"/>
  </cols>
  <sheetData>
    <row r="1" spans="1:2" ht="13.8" x14ac:dyDescent="0.3">
      <c r="A1" s="17" t="s">
        <v>99</v>
      </c>
      <c r="B1" s="17" t="s">
        <v>120</v>
      </c>
    </row>
    <row r="2" spans="1:2" ht="13.8" x14ac:dyDescent="0.3">
      <c r="A2" s="9" t="s">
        <v>102</v>
      </c>
      <c r="B2" s="18">
        <v>0.4</v>
      </c>
    </row>
    <row r="3" spans="1:2" ht="13.8" x14ac:dyDescent="0.3">
      <c r="A3" s="9" t="s">
        <v>104</v>
      </c>
      <c r="B3" s="18">
        <v>0.4</v>
      </c>
    </row>
    <row r="4" spans="1:2" ht="13.8" x14ac:dyDescent="0.3">
      <c r="A4" s="9" t="s">
        <v>107</v>
      </c>
      <c r="B4" s="18">
        <v>0.2</v>
      </c>
    </row>
    <row r="5" spans="1:2" ht="13.8" x14ac:dyDescent="0.3">
      <c r="A5" s="19" t="s">
        <v>121</v>
      </c>
      <c r="B5" s="20">
        <v>1</v>
      </c>
    </row>
    <row r="6" spans="1:2" ht="13.8" x14ac:dyDescent="0.3">
      <c r="A6" s="11"/>
      <c r="B6" s="11"/>
    </row>
    <row r="8" spans="1:2" ht="13.8" x14ac:dyDescent="0.3">
      <c r="A8" s="17" t="s">
        <v>122</v>
      </c>
      <c r="B8" s="17" t="s">
        <v>123</v>
      </c>
    </row>
    <row r="9" spans="1:2" ht="13.8" x14ac:dyDescent="0.3">
      <c r="A9" s="9" t="s">
        <v>124</v>
      </c>
      <c r="B9" s="9" t="s">
        <v>125</v>
      </c>
    </row>
    <row r="10" spans="1:2" ht="13.8" x14ac:dyDescent="0.3">
      <c r="A10" s="9" t="s">
        <v>126</v>
      </c>
      <c r="B10" s="9" t="s">
        <v>127</v>
      </c>
    </row>
    <row r="11" spans="1:2" ht="13.8" x14ac:dyDescent="0.3">
      <c r="A11" s="9" t="s">
        <v>128</v>
      </c>
      <c r="B11" s="9" t="s">
        <v>129</v>
      </c>
    </row>
    <row r="12" spans="1:2" ht="13.8" x14ac:dyDescent="0.3">
      <c r="A12" s="9" t="s">
        <v>130</v>
      </c>
      <c r="B12" s="9" t="s">
        <v>131</v>
      </c>
    </row>
    <row r="13" spans="1:2" ht="13.8" x14ac:dyDescent="0.3">
      <c r="A13" s="9" t="s">
        <v>132</v>
      </c>
      <c r="B13" s="9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CDB7AC-8496-4A5E-9A4A-EE5C57FC0F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Problem Statement</vt:lpstr>
      <vt:lpstr>Mastersheet</vt:lpstr>
      <vt:lpstr>insights</vt:lpstr>
      <vt:lpstr>Session Details </vt:lpstr>
      <vt:lpstr>Session Mode</vt:lpstr>
      <vt:lpstr>Quiz Scores</vt:lpstr>
      <vt:lpstr>Grading Criteria and Weightage</vt:lpstr>
      <vt:lpstr>quiz_mark</vt:lpstr>
      <vt:lpstr>Quiz_marks</vt:lpstr>
      <vt:lpstr>quiz_scores</vt:lpstr>
      <vt:lpstr>session_details</vt:lpstr>
      <vt:lpstr>Session_mode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Rajan</dc:creator>
  <cp:lastModifiedBy>Sidharth Rajan</cp:lastModifiedBy>
  <dcterms:created xsi:type="dcterms:W3CDTF">2025-12-19T20:51:30Z</dcterms:created>
  <dcterms:modified xsi:type="dcterms:W3CDTF">2025-12-19T20:51:31Z</dcterms:modified>
</cp:coreProperties>
</file>